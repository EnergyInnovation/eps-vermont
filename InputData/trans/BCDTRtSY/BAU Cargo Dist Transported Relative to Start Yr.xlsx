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VT\trans\BCDTRtSY\"/>
    </mc:Choice>
  </mc:AlternateContent>
  <xr:revisionPtr revIDLastSave="0" documentId="8_{32523E2C-7D58-47FA-81DA-22030F21843D}"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<sst xmlns="http://schemas.openxmlformats.org/spreadsheetml/2006/main" count="6428" uniqueCount="3038">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</sst>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2930</v>
      </c>
      <c r="C1" s="77">
        <v>46248</v>
      </c>
      <c r="H1" t="s">
        <v>2981</v>
      </c>
      <c r="I1" t="s">
        <v>2982</v>
      </c>
    </row>
    <row r="2" spans="1:9">
      <c r="B2" t="str">
        <f>VLOOKUP(B1,H2:I52,2)</f>
        <v>VT</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Vermont</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1.0062076693963018</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1.0138471026370124</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1.018410098125645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1.0225691927714313</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1.0259906316181127</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1.0249797716792195</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1.0241329488655841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1.0219040043301031</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1.020275790437871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1.0178193113687224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1.0160575163993155</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1.0147244131310988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1.0134487293984946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1.0115913461083936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1.0099347052062702</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1.0071862780711691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1.004322957874181</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1.0011406930577984</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0.99818105234089505</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0.9950173049245864</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0.99160664005211108</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0.98746223490959384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0.98345042459331555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0.97923384994843843</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0.97540118116503005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1.0180174078395752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1.030243203018171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1.0390068425289838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1.0465599663383727</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1.0527090527908602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1.053268126635623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1.0534014172527324</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1.0540074115286231</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1.0541445230962914</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1.0545944714973297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1.0542747853270986</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1.0540804132242796</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1.0533984097034617</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1.0526960149922049</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1.0519433148557114</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1.0501628508387897</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1.0483348283577216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1.046187310141548</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1.0439262536421401</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1.0415598722534885</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1.0388322503907841</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1.0360023663633826</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1.0328228873662004</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1.0294867922532849</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1.0260927144837448</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1.031436283938354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1.0502968496874883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1.0583820611929169</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1.0713006269251246</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1.088368395201379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1.1003618993069286</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1.1166185403801479</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1.1346402075990696</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1.154865451156025</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1.1774652588967673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1.1931144792605504</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1.2087351110701399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1.2240129355928877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1.2382317837924377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1.2527933605532264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1.2655784412262439</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1.2793031655256921</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1.2941882874936894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1.3088770696126801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1.323574208719738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1.3371928706817031</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1.3488467887976432</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1.3605733562035791</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1.3712065004066432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1.3822067079170735</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1.0637996517295307</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1.111249749423693</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1.1471972651991837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1.178352116036427</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1.2048985147112448</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1.2225461604737946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1.2378969817784782</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1.2539968938085324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1.2650082900304891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1.2759121169661463</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1.2831014011820616</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1.2910873447725335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1.2977547192315182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1.3017557270781683</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1.3060706556377126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1.3085304602348349</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1.3109810061737821</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1.3119110744659745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1.3135917172737892</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1.3158654101583644</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1.3165625069301983</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1.3179193446186364</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1.3170790001415387</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1.3158380597929504</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1.3143015444215018</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1.0020274916980871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0.99697340811084167</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0.98595696500334229</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0.97737747744996339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0.97108504322642708</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0.96069832616204409</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0.95268991829309091</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0.94590948223534588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0.94038820892862385</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0.93616864945184208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0.92906793968143098</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0.92204483420797134</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0.91490293326496164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0.90773399751392114</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0.90069574260256491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0.89273381040470989</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0.88522008306384892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0.87802703671407789</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0.8708719045718617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0.86372360050571528</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0.85617182336697051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0.84805205184612609</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0.8398454856586105</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0.83133548110670996</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0.82312561731321665</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1.005972012914697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1.0141439306556308</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1.0193831886279017</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1.0244195167296755</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1.0284288790685852</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1.0286556762041901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1.0289269738215101</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1.0276726661379703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1.0267747461741501</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1.0249843420741198</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1.0239911439406117</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1.0234409512146887</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1.0228621105537323</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1.0215795606136491</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1.0205239210942509</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1.0186440587825207</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1.016506669667351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1.0141469597193611</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1.0121124032575783</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1.0099523781340327</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1.0073525033190021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1.004061474550938</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1.0007302897235475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0.99726112807340817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0.99417777982931843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0.9961688893121956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0.99780100232253754</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0.99906466244374881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1.001500867591153</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1.0087322560589085</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1.0107486780066826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1.0145537968306815</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1.017056241348772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1.0214743511709614</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1.0265816765384785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1.0320100453348215</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1.0386715131696913</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1.0465287342204652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1.0547210215837799</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1.0633917371445289</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1.0707666594677157</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1.0775030388881843</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1.0816982678619929</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1.0856072777602992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1.0908173011091287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1.0964531932713191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1.1027214071646634</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1.1077238488623233</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1.1134494584951358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1.1184156016121862</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1.0108142586812292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1.0258746783235235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1.0400786909151423</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1.0516916758531623</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1.0656918617441475</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1.0711988556658663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1.0775921388935774</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1.0817732409378809</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1.0871846965663605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1.0924365937384697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1.096869680916726</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1.1005915034439253</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1.1032971126839</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1.1054281214526289</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1.1077231403788437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1.1094467221121851</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1.110632310321314</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1.1108079611299186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1.1112802128407682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1.113562583129895</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1.1160278316474521</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1.1183787155875107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1.1186554070091177</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1.1188461249739301</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1.1184824236559607</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1.026885279540185</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1.0460137731399584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1.0586857078897063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1.0750676486670427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1.0944456672116842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1.1092566600148359</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1.1270902701600165</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1.1462872581815515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1.1671421445321428</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1.1897572519892414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1.2078150240757171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1.2259640049356644</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1.2439823946555042</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1.261366671291372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1.2790903616849991</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1.2955437556634086</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1.3127138957822124</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1.3307593286015249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1.3487476321521636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1.3668165711388445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1.3842136877361813</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1.4003111781271773</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1.4165361191166161</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1.432072091665562</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1.4479606037902024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0.97732329047117417</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1.0088745511377253</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0.98822418967626136</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0.98046303448508165</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0.98703176849557461</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0.95814896907345792</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0.95860696161167291</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0.95920473847681664</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0.95295629899609779</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0.95255174595979597</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0.95130333070284967</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0.95140594328585482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0.94831215990079021</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0.94675669050978806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0.94424626074735518</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0.93970408969517305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0.93314066860481526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0.92722197994765776</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0.92369403804908767</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0.91961096455196423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0.91793217543168226</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0.91972900362673038</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0.91903419736485514</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0.91283101895334418</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0.90728266957175441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0.99219543070753491</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1.0113914238543213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1.0326144693184081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1.0504704380127381</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1.0692524756067021</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1.0825027981488349</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1.0976930867574417</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1.1130625732581543</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1.1290306521187916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1.1458762228997041</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1.1586518213842909</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1.1680510436157043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1.1773673036769714</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1.1854574682282437</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1.193561659231352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1.2008919645919756</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1.2091780283300877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1.2169786006350343</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1.2245593516739433</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1.2333584768754375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1.2422223685972351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1.2511832477425016</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1.2593291447886612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1.2671038940383863</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1.2761542891304818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1.0062076693963018</v>
      </c>
      <c r="E2">
        <f>'BCDTRtSY-state-adjusted'!E5</f>
        <v>1.0138471026370124</v>
      </c>
      <c r="F2">
        <f>'BCDTRtSY-state-adjusted'!F5</f>
        <v>1.018410098125645</v>
      </c>
      <c r="G2">
        <f>'BCDTRtSY-state-adjusted'!G5</f>
        <v>1.0225691927714313</v>
      </c>
      <c r="H2">
        <f>'BCDTRtSY-state-adjusted'!H5</f>
        <v>1.0259906316181127</v>
      </c>
      <c r="I2">
        <f>'BCDTRtSY-state-adjusted'!I5</f>
        <v>1.0249797716792195</v>
      </c>
      <c r="J2">
        <f>'BCDTRtSY-state-adjusted'!J5</f>
        <v>1.0241329488655841</v>
      </c>
      <c r="K2">
        <f>'BCDTRtSY-state-adjusted'!K5</f>
        <v>1.0219040043301031</v>
      </c>
      <c r="L2">
        <f>'BCDTRtSY-state-adjusted'!L5</f>
        <v>1.020275790437871</v>
      </c>
      <c r="M2">
        <f>'BCDTRtSY-state-adjusted'!M5</f>
        <v>1.0178193113687224</v>
      </c>
      <c r="N2">
        <f>'BCDTRtSY-state-adjusted'!N5</f>
        <v>1.0160575163993155</v>
      </c>
      <c r="O2">
        <f>'BCDTRtSY-state-adjusted'!O5</f>
        <v>1.0147244131310988</v>
      </c>
      <c r="P2">
        <f>'BCDTRtSY-state-adjusted'!P5</f>
        <v>1.0134487293984946</v>
      </c>
      <c r="Q2">
        <f>'BCDTRtSY-state-adjusted'!Q5</f>
        <v>1.0115913461083936</v>
      </c>
      <c r="R2">
        <f>'BCDTRtSY-state-adjusted'!R5</f>
        <v>1.0099347052062702</v>
      </c>
      <c r="S2">
        <f>'BCDTRtSY-state-adjusted'!S5</f>
        <v>1.0071862780711691</v>
      </c>
      <c r="T2">
        <f>'BCDTRtSY-state-adjusted'!T5</f>
        <v>1.004322957874181</v>
      </c>
      <c r="U2">
        <f>'BCDTRtSY-state-adjusted'!U5</f>
        <v>1.0011406930577984</v>
      </c>
      <c r="V2">
        <f>'BCDTRtSY-state-adjusted'!V5</f>
        <v>0.99818105234089505</v>
      </c>
      <c r="W2">
        <f>'BCDTRtSY-state-adjusted'!W5</f>
        <v>0.9950173049245864</v>
      </c>
      <c r="X2">
        <f>'BCDTRtSY-state-adjusted'!X5</f>
        <v>0.99160664005211108</v>
      </c>
      <c r="Y2">
        <f>'BCDTRtSY-state-adjusted'!Y5</f>
        <v>0.98746223490959384</v>
      </c>
      <c r="Z2">
        <f>'BCDTRtSY-state-adjusted'!Z5</f>
        <v>0.98345042459331555</v>
      </c>
      <c r="AA2">
        <f>'BCDTRtSY-state-adjusted'!AA5</f>
        <v>0.97923384994843843</v>
      </c>
      <c r="AB2">
        <f>'BCDTRtSY-state-adjusted'!AB5</f>
        <v>0.97540118116503005</v>
      </c>
    </row>
    <row r="3" spans="1:28">
      <c r="A3" t="s">
        <v>118</v>
      </c>
      <c r="B3">
        <f>'BCDTRtSY-state-adjusted'!B6</f>
        <v>1</v>
      </c>
      <c r="C3">
        <f>'BCDTRtSY-state-adjusted'!C6</f>
        <v>1</v>
      </c>
      <c r="D3">
        <f>'BCDTRtSY-state-adjusted'!D6</f>
        <v>1.0180174078395752</v>
      </c>
      <c r="E3">
        <f>'BCDTRtSY-state-adjusted'!E6</f>
        <v>1.030243203018171</v>
      </c>
      <c r="F3">
        <f>'BCDTRtSY-state-adjusted'!F6</f>
        <v>1.0390068425289838</v>
      </c>
      <c r="G3">
        <f>'BCDTRtSY-state-adjusted'!G6</f>
        <v>1.0465599663383727</v>
      </c>
      <c r="H3">
        <f>'BCDTRtSY-state-adjusted'!H6</f>
        <v>1.0527090527908602</v>
      </c>
      <c r="I3">
        <f>'BCDTRtSY-state-adjusted'!I6</f>
        <v>1.053268126635623</v>
      </c>
      <c r="J3">
        <f>'BCDTRtSY-state-adjusted'!J6</f>
        <v>1.0534014172527324</v>
      </c>
      <c r="K3">
        <f>'BCDTRtSY-state-adjusted'!K6</f>
        <v>1.0540074115286231</v>
      </c>
      <c r="L3">
        <f>'BCDTRtSY-state-adjusted'!L6</f>
        <v>1.0541445230962914</v>
      </c>
      <c r="M3">
        <f>'BCDTRtSY-state-adjusted'!M6</f>
        <v>1.0545944714973297</v>
      </c>
      <c r="N3">
        <f>'BCDTRtSY-state-adjusted'!N6</f>
        <v>1.0542747853270986</v>
      </c>
      <c r="O3">
        <f>'BCDTRtSY-state-adjusted'!O6</f>
        <v>1.0540804132242796</v>
      </c>
      <c r="P3">
        <f>'BCDTRtSY-state-adjusted'!P6</f>
        <v>1.0533984097034617</v>
      </c>
      <c r="Q3">
        <f>'BCDTRtSY-state-adjusted'!Q6</f>
        <v>1.0526960149922049</v>
      </c>
      <c r="R3">
        <f>'BCDTRtSY-state-adjusted'!R6</f>
        <v>1.0519433148557114</v>
      </c>
      <c r="S3">
        <f>'BCDTRtSY-state-adjusted'!S6</f>
        <v>1.0501628508387897</v>
      </c>
      <c r="T3">
        <f>'BCDTRtSY-state-adjusted'!T6</f>
        <v>1.0483348283577216</v>
      </c>
      <c r="U3">
        <f>'BCDTRtSY-state-adjusted'!U6</f>
        <v>1.046187310141548</v>
      </c>
      <c r="V3">
        <f>'BCDTRtSY-state-adjusted'!V6</f>
        <v>1.0439262536421401</v>
      </c>
      <c r="W3">
        <f>'BCDTRtSY-state-adjusted'!W6</f>
        <v>1.0415598722534885</v>
      </c>
      <c r="X3">
        <f>'BCDTRtSY-state-adjusted'!X6</f>
        <v>1.0388322503907841</v>
      </c>
      <c r="Y3">
        <f>'BCDTRtSY-state-adjusted'!Y6</f>
        <v>1.0360023663633826</v>
      </c>
      <c r="Z3">
        <f>'BCDTRtSY-state-adjusted'!Z6</f>
        <v>1.0328228873662004</v>
      </c>
      <c r="AA3">
        <f>'BCDTRtSY-state-adjusted'!AA6</f>
        <v>1.0294867922532849</v>
      </c>
      <c r="AB3">
        <f>'BCDTRtSY-state-adjusted'!AB6</f>
        <v>1.0260927144837448</v>
      </c>
    </row>
    <row r="4" spans="1:28">
      <c r="A4" t="s">
        <v>116</v>
      </c>
      <c r="B4">
        <f>'BCDTRtSY-state-adjusted'!B7</f>
        <v>1</v>
      </c>
      <c r="C4">
        <f>'BCDTRtSY-state-adjusted'!C7</f>
        <v>1</v>
      </c>
      <c r="D4">
        <f>'BCDTRtSY-state-adjusted'!D7</f>
        <v>1.031436283938354</v>
      </c>
      <c r="E4">
        <f>'BCDTRtSY-state-adjusted'!E7</f>
        <v>1.0502968496874883</v>
      </c>
      <c r="F4">
        <f>'BCDTRtSY-state-adjusted'!F7</f>
        <v>1.0583820611929169</v>
      </c>
      <c r="G4">
        <f>'BCDTRtSY-state-adjusted'!G7</f>
        <v>1.0713006269251246</v>
      </c>
      <c r="H4">
        <f>'BCDTRtSY-state-adjusted'!H7</f>
        <v>1.088368395201379</v>
      </c>
      <c r="I4">
        <f>'BCDTRtSY-state-adjusted'!I7</f>
        <v>1.1003618993069286</v>
      </c>
      <c r="J4">
        <f>'BCDTRtSY-state-adjusted'!J7</f>
        <v>1.1166185403801479</v>
      </c>
      <c r="K4">
        <f>'BCDTRtSY-state-adjusted'!K7</f>
        <v>1.1346402075990696</v>
      </c>
      <c r="L4">
        <f>'BCDTRtSY-state-adjusted'!L7</f>
        <v>1.154865451156025</v>
      </c>
      <c r="M4">
        <f>'BCDTRtSY-state-adjusted'!M7</f>
        <v>1.1774652588967673</v>
      </c>
      <c r="N4">
        <f>'BCDTRtSY-state-adjusted'!N7</f>
        <v>1.1931144792605504</v>
      </c>
      <c r="O4">
        <f>'BCDTRtSY-state-adjusted'!O7</f>
        <v>1.2087351110701399</v>
      </c>
      <c r="P4">
        <f>'BCDTRtSY-state-adjusted'!P7</f>
        <v>1.2240129355928877</v>
      </c>
      <c r="Q4">
        <f>'BCDTRtSY-state-adjusted'!Q7</f>
        <v>1.2382317837924377</v>
      </c>
      <c r="R4">
        <f>'BCDTRtSY-state-adjusted'!R7</f>
        <v>1.2527933605532264</v>
      </c>
      <c r="S4">
        <f>'BCDTRtSY-state-adjusted'!S7</f>
        <v>1.2655784412262439</v>
      </c>
      <c r="T4">
        <f>'BCDTRtSY-state-adjusted'!T7</f>
        <v>1.2793031655256921</v>
      </c>
      <c r="U4">
        <f>'BCDTRtSY-state-adjusted'!U7</f>
        <v>1.2941882874936894</v>
      </c>
      <c r="V4">
        <f>'BCDTRtSY-state-adjusted'!V7</f>
        <v>1.3088770696126801</v>
      </c>
      <c r="W4">
        <f>'BCDTRtSY-state-adjusted'!W7</f>
        <v>1.323574208719738</v>
      </c>
      <c r="X4">
        <f>'BCDTRtSY-state-adjusted'!X7</f>
        <v>1.3371928706817031</v>
      </c>
      <c r="Y4">
        <f>'BCDTRtSY-state-adjusted'!Y7</f>
        <v>1.3488467887976432</v>
      </c>
      <c r="Z4">
        <f>'BCDTRtSY-state-adjusted'!Z7</f>
        <v>1.3605733562035791</v>
      </c>
      <c r="AA4">
        <f>'BCDTRtSY-state-adjusted'!AA7</f>
        <v>1.3712065004066432</v>
      </c>
      <c r="AB4">
        <f>'BCDTRtSY-state-adjusted'!AB7</f>
        <v>1.3822067079170735</v>
      </c>
    </row>
    <row r="5" spans="1:28">
      <c r="A5" t="s">
        <v>121</v>
      </c>
      <c r="B5">
        <f>'BCDTRtSY-state-adjusted'!B8</f>
        <v>1</v>
      </c>
      <c r="C5">
        <f>'BCDTRtSY-state-adjusted'!C8</f>
        <v>1</v>
      </c>
      <c r="D5">
        <f>'BCDTRtSY-state-adjusted'!D8</f>
        <v>1.0637996517295307</v>
      </c>
      <c r="E5">
        <f>'BCDTRtSY-state-adjusted'!E8</f>
        <v>1.111249749423693</v>
      </c>
      <c r="F5">
        <f>'BCDTRtSY-state-adjusted'!F8</f>
        <v>1.1471972651991837</v>
      </c>
      <c r="G5">
        <f>'BCDTRtSY-state-adjusted'!G8</f>
        <v>1.178352116036427</v>
      </c>
      <c r="H5">
        <f>'BCDTRtSY-state-adjusted'!H8</f>
        <v>1.2048985147112448</v>
      </c>
      <c r="I5">
        <f>'BCDTRtSY-state-adjusted'!I8</f>
        <v>1.2225461604737946</v>
      </c>
      <c r="J5">
        <f>'BCDTRtSY-state-adjusted'!J8</f>
        <v>1.2378969817784782</v>
      </c>
      <c r="K5">
        <f>'BCDTRtSY-state-adjusted'!K8</f>
        <v>1.2539968938085324</v>
      </c>
      <c r="L5">
        <f>'BCDTRtSY-state-adjusted'!L8</f>
        <v>1.2650082900304891</v>
      </c>
      <c r="M5">
        <f>'BCDTRtSY-state-adjusted'!M8</f>
        <v>1.2759121169661463</v>
      </c>
      <c r="N5">
        <f>'BCDTRtSY-state-adjusted'!N8</f>
        <v>1.2831014011820616</v>
      </c>
      <c r="O5">
        <f>'BCDTRtSY-state-adjusted'!O8</f>
        <v>1.2910873447725335</v>
      </c>
      <c r="P5">
        <f>'BCDTRtSY-state-adjusted'!P8</f>
        <v>1.2977547192315182</v>
      </c>
      <c r="Q5">
        <f>'BCDTRtSY-state-adjusted'!Q8</f>
        <v>1.3017557270781683</v>
      </c>
      <c r="R5">
        <f>'BCDTRtSY-state-adjusted'!R8</f>
        <v>1.3060706556377126</v>
      </c>
      <c r="S5">
        <f>'BCDTRtSY-state-adjusted'!S8</f>
        <v>1.3085304602348349</v>
      </c>
      <c r="T5">
        <f>'BCDTRtSY-state-adjusted'!T8</f>
        <v>1.3109810061737821</v>
      </c>
      <c r="U5">
        <f>'BCDTRtSY-state-adjusted'!U8</f>
        <v>1.3119110744659745</v>
      </c>
      <c r="V5">
        <f>'BCDTRtSY-state-adjusted'!V8</f>
        <v>1.3135917172737892</v>
      </c>
      <c r="W5">
        <f>'BCDTRtSY-state-adjusted'!W8</f>
        <v>1.3158654101583644</v>
      </c>
      <c r="X5">
        <f>'BCDTRtSY-state-adjusted'!X8</f>
        <v>1.3165625069301983</v>
      </c>
      <c r="Y5">
        <f>'BCDTRtSY-state-adjusted'!Y8</f>
        <v>1.3179193446186364</v>
      </c>
      <c r="Z5">
        <f>'BCDTRtSY-state-adjusted'!Z8</f>
        <v>1.3170790001415387</v>
      </c>
      <c r="AA5">
        <f>'BCDTRtSY-state-adjusted'!AA8</f>
        <v>1.3158380597929504</v>
      </c>
      <c r="AB5">
        <f>'BCDTRtSY-state-adjusted'!AB8</f>
        <v>1.3143015444215018</v>
      </c>
    </row>
    <row r="6" spans="1:28">
      <c r="A6" t="s">
        <v>122</v>
      </c>
      <c r="B6">
        <f>'BCDTRtSY-state-adjusted'!B9</f>
        <v>1</v>
      </c>
      <c r="C6">
        <f>'BCDTRtSY-state-adjusted'!C9</f>
        <v>1</v>
      </c>
      <c r="D6">
        <f>'BCDTRtSY-state-adjusted'!D9</f>
        <v>1.0020274916980871</v>
      </c>
      <c r="E6">
        <f>'BCDTRtSY-state-adjusted'!E9</f>
        <v>0.99697340811084167</v>
      </c>
      <c r="F6">
        <f>'BCDTRtSY-state-adjusted'!F9</f>
        <v>0.98595696500334229</v>
      </c>
      <c r="G6">
        <f>'BCDTRtSY-state-adjusted'!G9</f>
        <v>0.97737747744996339</v>
      </c>
      <c r="H6">
        <f>'BCDTRtSY-state-adjusted'!H9</f>
        <v>0.97108504322642708</v>
      </c>
      <c r="I6">
        <f>'BCDTRtSY-state-adjusted'!I9</f>
        <v>0.96069832616204409</v>
      </c>
      <c r="J6">
        <f>'BCDTRtSY-state-adjusted'!J9</f>
        <v>0.95268991829309091</v>
      </c>
      <c r="K6">
        <f>'BCDTRtSY-state-adjusted'!K9</f>
        <v>0.94590948223534588</v>
      </c>
      <c r="L6">
        <f>'BCDTRtSY-state-adjusted'!L9</f>
        <v>0.94038820892862385</v>
      </c>
      <c r="M6">
        <f>'BCDTRtSY-state-adjusted'!M9</f>
        <v>0.93616864945184208</v>
      </c>
      <c r="N6">
        <f>'BCDTRtSY-state-adjusted'!N9</f>
        <v>0.92906793968143098</v>
      </c>
      <c r="O6">
        <f>'BCDTRtSY-state-adjusted'!O9</f>
        <v>0.92204483420797134</v>
      </c>
      <c r="P6">
        <f>'BCDTRtSY-state-adjusted'!P9</f>
        <v>0.91490293326496164</v>
      </c>
      <c r="Q6">
        <f>'BCDTRtSY-state-adjusted'!Q9</f>
        <v>0.90773399751392114</v>
      </c>
      <c r="R6">
        <f>'BCDTRtSY-state-adjusted'!R9</f>
        <v>0.90069574260256491</v>
      </c>
      <c r="S6">
        <f>'BCDTRtSY-state-adjusted'!S9</f>
        <v>0.89273381040470989</v>
      </c>
      <c r="T6">
        <f>'BCDTRtSY-state-adjusted'!T9</f>
        <v>0.88522008306384892</v>
      </c>
      <c r="U6">
        <f>'BCDTRtSY-state-adjusted'!U9</f>
        <v>0.87802703671407789</v>
      </c>
      <c r="V6">
        <f>'BCDTRtSY-state-adjusted'!V9</f>
        <v>0.8708719045718617</v>
      </c>
      <c r="W6">
        <f>'BCDTRtSY-state-adjusted'!W9</f>
        <v>0.86372360050571528</v>
      </c>
      <c r="X6">
        <f>'BCDTRtSY-state-adjusted'!X9</f>
        <v>0.85617182336697051</v>
      </c>
      <c r="Y6">
        <f>'BCDTRtSY-state-adjusted'!Y9</f>
        <v>0.84805205184612609</v>
      </c>
      <c r="Z6">
        <f>'BCDTRtSY-state-adjusted'!Z9</f>
        <v>0.8398454856586105</v>
      </c>
      <c r="AA6">
        <f>'BCDTRtSY-state-adjusted'!AA9</f>
        <v>0.83133548110670996</v>
      </c>
      <c r="AB6">
        <f>'BCDTRtSY-state-adjusted'!AB9</f>
        <v>0.82312561731321665</v>
      </c>
    </row>
    <row r="7" spans="1:28">
      <c r="A7" t="s">
        <v>123</v>
      </c>
      <c r="B7">
        <f>'BCDTRtSY-state-adjusted'!B10</f>
        <v>1</v>
      </c>
      <c r="C7">
        <f>'BCDTRtSY-state-adjusted'!C10</f>
        <v>1</v>
      </c>
      <c r="D7">
        <f>'BCDTRtSY-state-adjusted'!D10</f>
        <v>1.005972012914697</v>
      </c>
      <c r="E7">
        <f>'BCDTRtSY-state-adjusted'!E10</f>
        <v>1.0141439306556308</v>
      </c>
      <c r="F7">
        <f>'BCDTRtSY-state-adjusted'!F10</f>
        <v>1.0193831886279017</v>
      </c>
      <c r="G7">
        <f>'BCDTRtSY-state-adjusted'!G10</f>
        <v>1.0244195167296755</v>
      </c>
      <c r="H7">
        <f>'BCDTRtSY-state-adjusted'!H10</f>
        <v>1.0284288790685852</v>
      </c>
      <c r="I7">
        <f>'BCDTRtSY-state-adjusted'!I10</f>
        <v>1.0286556762041901</v>
      </c>
      <c r="J7">
        <f>'BCDTRtSY-state-adjusted'!J10</f>
        <v>1.0289269738215101</v>
      </c>
      <c r="K7">
        <f>'BCDTRtSY-state-adjusted'!K10</f>
        <v>1.0276726661379703</v>
      </c>
      <c r="L7">
        <f>'BCDTRtSY-state-adjusted'!L10</f>
        <v>1.0267747461741501</v>
      </c>
      <c r="M7">
        <f>'BCDTRtSY-state-adjusted'!M10</f>
        <v>1.0249843420741198</v>
      </c>
      <c r="N7">
        <f>'BCDTRtSY-state-adjusted'!N10</f>
        <v>1.0239911439406117</v>
      </c>
      <c r="O7">
        <f>'BCDTRtSY-state-adjusted'!O10</f>
        <v>1.0234409512146887</v>
      </c>
      <c r="P7">
        <f>'BCDTRtSY-state-adjusted'!P10</f>
        <v>1.0228621105537323</v>
      </c>
      <c r="Q7">
        <f>'BCDTRtSY-state-adjusted'!Q10</f>
        <v>1.0215795606136491</v>
      </c>
      <c r="R7">
        <f>'BCDTRtSY-state-adjusted'!R10</f>
        <v>1.0205239210942509</v>
      </c>
      <c r="S7">
        <f>'BCDTRtSY-state-adjusted'!S10</f>
        <v>1.0186440587825207</v>
      </c>
      <c r="T7">
        <f>'BCDTRtSY-state-adjusted'!T10</f>
        <v>1.016506669667351</v>
      </c>
      <c r="U7">
        <f>'BCDTRtSY-state-adjusted'!U10</f>
        <v>1.0141469597193611</v>
      </c>
      <c r="V7">
        <f>'BCDTRtSY-state-adjusted'!V10</f>
        <v>1.0121124032575783</v>
      </c>
      <c r="W7">
        <f>'BCDTRtSY-state-adjusted'!W10</f>
        <v>1.0099523781340327</v>
      </c>
      <c r="X7">
        <f>'BCDTRtSY-state-adjusted'!X10</f>
        <v>1.0073525033190021</v>
      </c>
      <c r="Y7">
        <f>'BCDTRtSY-state-adjusted'!Y10</f>
        <v>1.004061474550938</v>
      </c>
      <c r="Z7">
        <f>'BCDTRtSY-state-adjusted'!Z10</f>
        <v>1.0007302897235475</v>
      </c>
      <c r="AA7">
        <f>'BCDTRtSY-state-adjusted'!AA10</f>
        <v>0.99726112807340817</v>
      </c>
      <c r="AB7">
        <f>'BCDTRtSY-state-adjusted'!AB10</f>
        <v>0.99417777982931843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0.9961688893121956</v>
      </c>
      <c r="E2">
        <f>'BCDTRtSY-state-adjusted'!E13</f>
        <v>0.99780100232253754</v>
      </c>
      <c r="F2">
        <f>'BCDTRtSY-state-adjusted'!F13</f>
        <v>0.99906466244374881</v>
      </c>
      <c r="G2">
        <f>'BCDTRtSY-state-adjusted'!G13</f>
        <v>1.001500867591153</v>
      </c>
      <c r="H2">
        <f>'BCDTRtSY-state-adjusted'!H13</f>
        <v>1.0087322560589085</v>
      </c>
      <c r="I2">
        <f>'BCDTRtSY-state-adjusted'!I13</f>
        <v>1.0107486780066826</v>
      </c>
      <c r="J2">
        <f>'BCDTRtSY-state-adjusted'!J13</f>
        <v>1.0145537968306815</v>
      </c>
      <c r="K2">
        <f>'BCDTRtSY-state-adjusted'!K13</f>
        <v>1.017056241348772</v>
      </c>
      <c r="L2">
        <f>'BCDTRtSY-state-adjusted'!L13</f>
        <v>1.0214743511709614</v>
      </c>
      <c r="M2">
        <f>'BCDTRtSY-state-adjusted'!M13</f>
        <v>1.0265816765384785</v>
      </c>
      <c r="N2">
        <f>'BCDTRtSY-state-adjusted'!N13</f>
        <v>1.0320100453348215</v>
      </c>
      <c r="O2">
        <f>'BCDTRtSY-state-adjusted'!O13</f>
        <v>1.0386715131696913</v>
      </c>
      <c r="P2">
        <f>'BCDTRtSY-state-adjusted'!P13</f>
        <v>1.0465287342204652</v>
      </c>
      <c r="Q2">
        <f>'BCDTRtSY-state-adjusted'!Q13</f>
        <v>1.0547210215837799</v>
      </c>
      <c r="R2">
        <f>'BCDTRtSY-state-adjusted'!R13</f>
        <v>1.0633917371445289</v>
      </c>
      <c r="S2">
        <f>'BCDTRtSY-state-adjusted'!S13</f>
        <v>1.0707666594677157</v>
      </c>
      <c r="T2">
        <f>'BCDTRtSY-state-adjusted'!T13</f>
        <v>1.0775030388881843</v>
      </c>
      <c r="U2">
        <f>'BCDTRtSY-state-adjusted'!U13</f>
        <v>1.0816982678619929</v>
      </c>
      <c r="V2">
        <f>'BCDTRtSY-state-adjusted'!V13</f>
        <v>1.0856072777602992</v>
      </c>
      <c r="W2">
        <f>'BCDTRtSY-state-adjusted'!W13</f>
        <v>1.0908173011091287</v>
      </c>
      <c r="X2">
        <f>'BCDTRtSY-state-adjusted'!X13</f>
        <v>1.0964531932713191</v>
      </c>
      <c r="Y2">
        <f>'BCDTRtSY-state-adjusted'!Y13</f>
        <v>1.1027214071646634</v>
      </c>
      <c r="Z2">
        <f>'BCDTRtSY-state-adjusted'!Z13</f>
        <v>1.1077238488623233</v>
      </c>
      <c r="AA2">
        <f>'BCDTRtSY-state-adjusted'!AA13</f>
        <v>1.1134494584951358</v>
      </c>
      <c r="AB2">
        <f>'BCDTRtSY-state-adjusted'!AB13</f>
        <v>1.1184156016121862</v>
      </c>
    </row>
    <row r="3" spans="1:28">
      <c r="A3" t="s">
        <v>118</v>
      </c>
      <c r="B3">
        <f>'BCDTRtSY-state-adjusted'!B14</f>
        <v>1</v>
      </c>
      <c r="C3">
        <f>'BCDTRtSY-state-adjusted'!C14</f>
        <v>1</v>
      </c>
      <c r="D3">
        <f>'BCDTRtSY-state-adjusted'!D14</f>
        <v>1.0108142586812292</v>
      </c>
      <c r="E3">
        <f>'BCDTRtSY-state-adjusted'!E14</f>
        <v>1.0258746783235235</v>
      </c>
      <c r="F3">
        <f>'BCDTRtSY-state-adjusted'!F14</f>
        <v>1.0400786909151423</v>
      </c>
      <c r="G3">
        <f>'BCDTRtSY-state-adjusted'!G14</f>
        <v>1.0516916758531623</v>
      </c>
      <c r="H3">
        <f>'BCDTRtSY-state-adjusted'!H14</f>
        <v>1.0656918617441475</v>
      </c>
      <c r="I3">
        <f>'BCDTRtSY-state-adjusted'!I14</f>
        <v>1.0711988556658663</v>
      </c>
      <c r="J3">
        <f>'BCDTRtSY-state-adjusted'!J14</f>
        <v>1.0775921388935774</v>
      </c>
      <c r="K3">
        <f>'BCDTRtSY-state-adjusted'!K14</f>
        <v>1.0817732409378809</v>
      </c>
      <c r="L3">
        <f>'BCDTRtSY-state-adjusted'!L14</f>
        <v>1.0871846965663605</v>
      </c>
      <c r="M3">
        <f>'BCDTRtSY-state-adjusted'!M14</f>
        <v>1.0924365937384697</v>
      </c>
      <c r="N3">
        <f>'BCDTRtSY-state-adjusted'!N14</f>
        <v>1.096869680916726</v>
      </c>
      <c r="O3">
        <f>'BCDTRtSY-state-adjusted'!O14</f>
        <v>1.1005915034439253</v>
      </c>
      <c r="P3">
        <f>'BCDTRtSY-state-adjusted'!P14</f>
        <v>1.1032971126839</v>
      </c>
      <c r="Q3">
        <f>'BCDTRtSY-state-adjusted'!Q14</f>
        <v>1.1054281214526289</v>
      </c>
      <c r="R3">
        <f>'BCDTRtSY-state-adjusted'!R14</f>
        <v>1.1077231403788437</v>
      </c>
      <c r="S3">
        <f>'BCDTRtSY-state-adjusted'!S14</f>
        <v>1.1094467221121851</v>
      </c>
      <c r="T3">
        <f>'BCDTRtSY-state-adjusted'!T14</f>
        <v>1.110632310321314</v>
      </c>
      <c r="U3">
        <f>'BCDTRtSY-state-adjusted'!U14</f>
        <v>1.1108079611299186</v>
      </c>
      <c r="V3">
        <f>'BCDTRtSY-state-adjusted'!V14</f>
        <v>1.1112802128407682</v>
      </c>
      <c r="W3">
        <f>'BCDTRtSY-state-adjusted'!W14</f>
        <v>1.113562583129895</v>
      </c>
      <c r="X3">
        <f>'BCDTRtSY-state-adjusted'!X14</f>
        <v>1.1160278316474521</v>
      </c>
      <c r="Y3">
        <f>'BCDTRtSY-state-adjusted'!Y14</f>
        <v>1.1183787155875107</v>
      </c>
      <c r="Z3">
        <f>'BCDTRtSY-state-adjusted'!Z14</f>
        <v>1.1186554070091177</v>
      </c>
      <c r="AA3">
        <f>'BCDTRtSY-state-adjusted'!AA14</f>
        <v>1.1188461249739301</v>
      </c>
      <c r="AB3">
        <f>'BCDTRtSY-state-adjusted'!AB14</f>
        <v>1.1184824236559607</v>
      </c>
    </row>
    <row r="4" spans="1:28">
      <c r="A4" t="s">
        <v>116</v>
      </c>
      <c r="B4">
        <f>'BCDTRtSY-state-adjusted'!B15</f>
        <v>1</v>
      </c>
      <c r="C4">
        <f>'BCDTRtSY-state-adjusted'!C15</f>
        <v>1</v>
      </c>
      <c r="D4">
        <f>'BCDTRtSY-state-adjusted'!D15</f>
        <v>1.026885279540185</v>
      </c>
      <c r="E4">
        <f>'BCDTRtSY-state-adjusted'!E15</f>
        <v>1.0460137731399584</v>
      </c>
      <c r="F4">
        <f>'BCDTRtSY-state-adjusted'!F15</f>
        <v>1.0586857078897063</v>
      </c>
      <c r="G4">
        <f>'BCDTRtSY-state-adjusted'!G15</f>
        <v>1.0750676486670427</v>
      </c>
      <c r="H4">
        <f>'BCDTRtSY-state-adjusted'!H15</f>
        <v>1.0944456672116842</v>
      </c>
      <c r="I4">
        <f>'BCDTRtSY-state-adjusted'!I15</f>
        <v>1.1092566600148359</v>
      </c>
      <c r="J4">
        <f>'BCDTRtSY-state-adjusted'!J15</f>
        <v>1.1270902701600165</v>
      </c>
      <c r="K4">
        <f>'BCDTRtSY-state-adjusted'!K15</f>
        <v>1.1462872581815515</v>
      </c>
      <c r="L4">
        <f>'BCDTRtSY-state-adjusted'!L15</f>
        <v>1.1671421445321428</v>
      </c>
      <c r="M4">
        <f>'BCDTRtSY-state-adjusted'!M15</f>
        <v>1.1897572519892414</v>
      </c>
      <c r="N4">
        <f>'BCDTRtSY-state-adjusted'!N15</f>
        <v>1.2078150240757171</v>
      </c>
      <c r="O4">
        <f>'BCDTRtSY-state-adjusted'!O15</f>
        <v>1.2259640049356644</v>
      </c>
      <c r="P4">
        <f>'BCDTRtSY-state-adjusted'!P15</f>
        <v>1.2439823946555042</v>
      </c>
      <c r="Q4">
        <f>'BCDTRtSY-state-adjusted'!Q15</f>
        <v>1.261366671291372</v>
      </c>
      <c r="R4">
        <f>'BCDTRtSY-state-adjusted'!R15</f>
        <v>1.2790903616849991</v>
      </c>
      <c r="S4">
        <f>'BCDTRtSY-state-adjusted'!S15</f>
        <v>1.2955437556634086</v>
      </c>
      <c r="T4">
        <f>'BCDTRtSY-state-adjusted'!T15</f>
        <v>1.3127138957822124</v>
      </c>
      <c r="U4">
        <f>'BCDTRtSY-state-adjusted'!U15</f>
        <v>1.3307593286015249</v>
      </c>
      <c r="V4">
        <f>'BCDTRtSY-state-adjusted'!V15</f>
        <v>1.3487476321521636</v>
      </c>
      <c r="W4">
        <f>'BCDTRtSY-state-adjusted'!W15</f>
        <v>1.3668165711388445</v>
      </c>
      <c r="X4">
        <f>'BCDTRtSY-state-adjusted'!X15</f>
        <v>1.3842136877361813</v>
      </c>
      <c r="Y4">
        <f>'BCDTRtSY-state-adjusted'!Y15</f>
        <v>1.4003111781271773</v>
      </c>
      <c r="Z4">
        <f>'BCDTRtSY-state-adjusted'!Z15</f>
        <v>1.4165361191166161</v>
      </c>
      <c r="AA4">
        <f>'BCDTRtSY-state-adjusted'!AA15</f>
        <v>1.432072091665562</v>
      </c>
      <c r="AB4">
        <f>'BCDTRtSY-state-adjusted'!AB15</f>
        <v>1.4479606037902024</v>
      </c>
    </row>
    <row r="5" spans="1:28">
      <c r="A5" t="s">
        <v>121</v>
      </c>
      <c r="B5">
        <f>'BCDTRtSY-state-adjusted'!B16</f>
        <v>1</v>
      </c>
      <c r="C5">
        <f>'BCDTRtSY-state-adjusted'!C16</f>
        <v>1</v>
      </c>
      <c r="D5">
        <f>'BCDTRtSY-state-adjusted'!D16</f>
        <v>0.97732329047117417</v>
      </c>
      <c r="E5">
        <f>'BCDTRtSY-state-adjusted'!E16</f>
        <v>1.0088745511377253</v>
      </c>
      <c r="F5">
        <f>'BCDTRtSY-state-adjusted'!F16</f>
        <v>0.98822418967626136</v>
      </c>
      <c r="G5">
        <f>'BCDTRtSY-state-adjusted'!G16</f>
        <v>0.98046303448508165</v>
      </c>
      <c r="H5">
        <f>'BCDTRtSY-state-adjusted'!H16</f>
        <v>0.98703176849557461</v>
      </c>
      <c r="I5">
        <f>'BCDTRtSY-state-adjusted'!I16</f>
        <v>0.95814896907345792</v>
      </c>
      <c r="J5">
        <f>'BCDTRtSY-state-adjusted'!J16</f>
        <v>0.95860696161167291</v>
      </c>
      <c r="K5">
        <f>'BCDTRtSY-state-adjusted'!K16</f>
        <v>0.95920473847681664</v>
      </c>
      <c r="L5">
        <f>'BCDTRtSY-state-adjusted'!L16</f>
        <v>0.95295629899609779</v>
      </c>
      <c r="M5">
        <f>'BCDTRtSY-state-adjusted'!M16</f>
        <v>0.95255174595979597</v>
      </c>
      <c r="N5">
        <f>'BCDTRtSY-state-adjusted'!N16</f>
        <v>0.95130333070284967</v>
      </c>
      <c r="O5">
        <f>'BCDTRtSY-state-adjusted'!O16</f>
        <v>0.95140594328585482</v>
      </c>
      <c r="P5">
        <f>'BCDTRtSY-state-adjusted'!P16</f>
        <v>0.94831215990079021</v>
      </c>
      <c r="Q5">
        <f>'BCDTRtSY-state-adjusted'!Q16</f>
        <v>0.94675669050978806</v>
      </c>
      <c r="R5">
        <f>'BCDTRtSY-state-adjusted'!R16</f>
        <v>0.94424626074735518</v>
      </c>
      <c r="S5">
        <f>'BCDTRtSY-state-adjusted'!S16</f>
        <v>0.93970408969517305</v>
      </c>
      <c r="T5">
        <f>'BCDTRtSY-state-adjusted'!T16</f>
        <v>0.93314066860481526</v>
      </c>
      <c r="U5">
        <f>'BCDTRtSY-state-adjusted'!U16</f>
        <v>0.92722197994765776</v>
      </c>
      <c r="V5">
        <f>'BCDTRtSY-state-adjusted'!V16</f>
        <v>0.92369403804908767</v>
      </c>
      <c r="W5">
        <f>'BCDTRtSY-state-adjusted'!W16</f>
        <v>0.91961096455196423</v>
      </c>
      <c r="X5">
        <f>'BCDTRtSY-state-adjusted'!X16</f>
        <v>0.91793217543168226</v>
      </c>
      <c r="Y5">
        <f>'BCDTRtSY-state-adjusted'!Y16</f>
        <v>0.91972900362673038</v>
      </c>
      <c r="Z5">
        <f>'BCDTRtSY-state-adjusted'!Z16</f>
        <v>0.91903419736485514</v>
      </c>
      <c r="AA5">
        <f>'BCDTRtSY-state-adjusted'!AA16</f>
        <v>0.91283101895334418</v>
      </c>
      <c r="AB5">
        <f>'BCDTRtSY-state-adjusted'!AB16</f>
        <v>0.90728266957175441</v>
      </c>
    </row>
    <row r="6" spans="1:28">
      <c r="A6" t="s">
        <v>122</v>
      </c>
      <c r="B6">
        <f>'BCDTRtSY-state-adjusted'!B17</f>
        <v>1</v>
      </c>
      <c r="C6">
        <f>'BCDTRtSY-state-adjusted'!C17</f>
        <v>1</v>
      </c>
      <c r="D6">
        <f>'BCDTRtSY-state-adjusted'!D17</f>
        <v>0.99219543070753491</v>
      </c>
      <c r="E6">
        <f>'BCDTRtSY-state-adjusted'!E17</f>
        <v>1.0113914238543213</v>
      </c>
      <c r="F6">
        <f>'BCDTRtSY-state-adjusted'!F17</f>
        <v>1.0326144693184081</v>
      </c>
      <c r="G6">
        <f>'BCDTRtSY-state-adjusted'!G17</f>
        <v>1.0504704380127381</v>
      </c>
      <c r="H6">
        <f>'BCDTRtSY-state-adjusted'!H17</f>
        <v>1.0692524756067021</v>
      </c>
      <c r="I6">
        <f>'BCDTRtSY-state-adjusted'!I17</f>
        <v>1.0825027981488349</v>
      </c>
      <c r="J6">
        <f>'BCDTRtSY-state-adjusted'!J17</f>
        <v>1.0976930867574417</v>
      </c>
      <c r="K6">
        <f>'BCDTRtSY-state-adjusted'!K17</f>
        <v>1.1130625732581543</v>
      </c>
      <c r="L6">
        <f>'BCDTRtSY-state-adjusted'!L17</f>
        <v>1.1290306521187916</v>
      </c>
      <c r="M6">
        <f>'BCDTRtSY-state-adjusted'!M17</f>
        <v>1.1458762228997041</v>
      </c>
      <c r="N6">
        <f>'BCDTRtSY-state-adjusted'!N17</f>
        <v>1.1586518213842909</v>
      </c>
      <c r="O6">
        <f>'BCDTRtSY-state-adjusted'!O17</f>
        <v>1.1680510436157043</v>
      </c>
      <c r="P6">
        <f>'BCDTRtSY-state-adjusted'!P17</f>
        <v>1.1773673036769714</v>
      </c>
      <c r="Q6">
        <f>'BCDTRtSY-state-adjusted'!Q17</f>
        <v>1.1854574682282437</v>
      </c>
      <c r="R6">
        <f>'BCDTRtSY-state-adjusted'!R17</f>
        <v>1.193561659231352</v>
      </c>
      <c r="S6">
        <f>'BCDTRtSY-state-adjusted'!S17</f>
        <v>1.2008919645919756</v>
      </c>
      <c r="T6">
        <f>'BCDTRtSY-state-adjusted'!T17</f>
        <v>1.2091780283300877</v>
      </c>
      <c r="U6">
        <f>'BCDTRtSY-state-adjusted'!U17</f>
        <v>1.2169786006350343</v>
      </c>
      <c r="V6">
        <f>'BCDTRtSY-state-adjusted'!V17</f>
        <v>1.2245593516739433</v>
      </c>
      <c r="W6">
        <f>'BCDTRtSY-state-adjusted'!W17</f>
        <v>1.2333584768754375</v>
      </c>
      <c r="X6">
        <f>'BCDTRtSY-state-adjusted'!X17</f>
        <v>1.2422223685972351</v>
      </c>
      <c r="Y6">
        <f>'BCDTRtSY-state-adjusted'!Y17</f>
        <v>1.2511832477425016</v>
      </c>
      <c r="Z6">
        <f>'BCDTRtSY-state-adjusted'!Z17</f>
        <v>1.2593291447886612</v>
      </c>
      <c r="AA6">
        <f>'BCDTRtSY-state-adjusted'!AA17</f>
        <v>1.2671038940383863</v>
      </c>
      <c r="AB6">
        <f>'BCDTRtSY-state-adjusted'!AB17</f>
        <v>1.2761542891304818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2026-08-14T21:49:43Z</dcterms:modified>
</cp:coreProperties>
</file>