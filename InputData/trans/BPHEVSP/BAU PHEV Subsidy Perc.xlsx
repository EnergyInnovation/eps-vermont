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VT\trans\BPHEVSP\"/>
    </mc:Choice>
  </mc:AlternateContent>
  <xr:revisionPtr revIDLastSave="0" documentId="8_{52019B8B-1552-4864-BA33-8DAC59222228}"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<sst xmlns="http://schemas.openxmlformats.org/spreadsheetml/2006/main" count="374" uniqueCount="193">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</sst>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182</v>
      </c>
      <c r="C1" s="32">
        <v>45051</v>
      </c>
      <c r="F1" s="29" t="s">
        <v>8</v>
      </c>
      <c r="G1" s="29" t="s">
        <v>8</v>
      </c>
    </row>
    <row r="2" spans="1:7" x14ac:dyDescent="0.75">
      <c r="B2" s="30" t="str">
        <f>LOOKUP(B1,F2:G51,G2:G51)</f>
        <v>VT</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VT</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3000</v>
      </c>
      <c r="D33" s="2">
        <f t="shared" ref="D33:I33" si="1">SUMIFS(E$13:E$26,$A$13:$A$26,$B$31)</f>
        <v>3000</v>
      </c>
      <c r="E33" s="2">
        <f t="shared" si="1"/>
        <v>3000</v>
      </c>
      <c r="F33" s="2">
        <f t="shared" si="1"/>
        <v>3000</v>
      </c>
      <c r="G33" s="2">
        <f t="shared" si="1"/>
        <v>3000</v>
      </c>
      <c r="H33" s="2">
        <f t="shared" si="1"/>
        <v>3000</v>
      </c>
      <c r="I33" s="2">
        <f t="shared" si="1"/>
        <v>3000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9306.8571623754142</v>
      </c>
      <c r="D38" s="2">
        <f>(B3+D33)*About!$B$33</f>
        <v>9314.0505313808389</v>
      </c>
      <c r="E38" s="2">
        <f>(C3+E33)*About!$B$33</f>
        <v>6278.3827074605133</v>
      </c>
      <c r="F38" s="2">
        <f>(D3+F33)*About!$B$33</f>
        <v>4084.1941119098765</v>
      </c>
      <c r="G38" s="2">
        <f>(E3+G33)*About!$B$33</f>
        <v>3499.7966437784248</v>
      </c>
      <c r="H38" s="2">
        <f>(F3+H33)*About!$B$33</f>
        <v>3082.4203857699713</v>
      </c>
      <c r="I38" s="2">
        <f>(G3+I33)*About!$B$33</f>
        <v>2961.8555328333582</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0.25231408020320484</v>
      </c>
      <c r="D45" s="7">
        <f t="shared" ref="D45:AG45" si="3">D38/C41</f>
        <v>0.24945899593917131</v>
      </c>
      <c r="E45" s="7">
        <f t="shared" si="3"/>
        <v>0.16819048748856152</v>
      </c>
      <c r="F45" s="7">
        <f t="shared" si="3"/>
        <v>0.10890313073380467</v>
      </c>
      <c r="G45" s="7">
        <f t="shared" si="3"/>
        <v>9.32781621476126E-2</v>
      </c>
      <c r="H45" s="7">
        <f t="shared" si="3"/>
        <v>8.1905202364084898E-2</v>
      </c>
      <c r="I45" s="7">
        <f t="shared" si="3"/>
        <v>7.8622200383132251E-2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9306.8571623754142</v>
      </c>
      <c r="C2" s="9">
        <f>Summary!D38</f>
        <v>9314.0505313808389</v>
      </c>
      <c r="D2" s="9">
        <f>Summary!E38</f>
        <v>6278.3827074605133</v>
      </c>
      <c r="E2" s="9">
        <f>Summary!F38</f>
        <v>4084.1941119098765</v>
      </c>
      <c r="F2" s="9">
        <f>Summary!G38</f>
        <v>3499.7966437784248</v>
      </c>
      <c r="G2" s="9">
        <f>Summary!H38</f>
        <v>3082.4203857699713</v>
      </c>
      <c r="H2" s="9">
        <f>Summary!I38</f>
        <v>2961.8555328333582</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2023-05-05T22:38:40Z</dcterms:modified>
</cp:coreProperties>
</file>