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MPCbS\"/>
    </mc:Choice>
  </mc:AlternateContent>
  <xr:revisionPtr revIDLastSave="0" documentId="8_{2EAC3C3B-EAD6-43E5-B6AC-8322B5AEBBDB}" xr6:coauthVersionLast="47" xr6:coauthVersionMax="47" xr10:uidLastSave="{00000000-0000-0000-0000-000000000000}"/>
  <bookViews>
    <workbookView xWindow="-90" yWindow="-90" windowWidth="19380" windowHeight="1026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<sst xmlns="http://schemas.openxmlformats.org/spreadsheetml/2006/main" count="914" uniqueCount="279">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</sst>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188</v>
      </c>
      <c r="C1" s="24">
        <v>45294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VT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VT</v>
      </c>
      <c r="B1" s="32">
        <f>SUMIFS(E3:E52,A3:A52,A1)</f>
        <v>37000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VT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VT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Vermont</v>
      </c>
      <c r="B1" s="32" t="str">
        <f>LOOKUP(A1,M4:N53,N4:N53)</f>
        <v>VT</v>
      </c>
      <c r="C1" s="32">
        <f>SUMIFS(L5:L52,A5:A52,B1)</f>
        <v>22191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VT</v>
      </c>
      <c r="B1" s="32">
        <f>SUMIFS(D4:D53,A4:A53,A1)</f>
        <v>113.33985649054142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VT</v>
      </c>
      <c r="B1" s="32">
        <f>SUMIFS(C3:C52,A3:A52,A1)</f>
        <v>5000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VT</v>
      </c>
      <c r="B1" s="32">
        <f>SUMIFS(D5:D54,A5:A54,A1)</f>
        <v>390.41095890410958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9*10^12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f>9*10^12</f>
        <v>9000000000000</v>
      </c>
    </row>
    <row r="6" spans="1:2" x14ac:dyDescent="0.25">
      <c r="A6" t="s">
        <v>28</v>
      </c>
      <c r="B6">
        <f>hydro!B1</f>
        <v>390.41095890410958</v>
      </c>
    </row>
    <row r="7" spans="1:2" x14ac:dyDescent="0.25">
      <c r="A7" t="s">
        <v>55</v>
      </c>
      <c r="B7">
        <f>'onshore wind'!C1</f>
        <v>22191</v>
      </c>
    </row>
    <row r="8" spans="1:2" x14ac:dyDescent="0.25">
      <c r="A8" t="s">
        <v>33</v>
      </c>
      <c r="B8">
        <f>'solar PV'!B1</f>
        <v>37000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113.33985649054142</v>
      </c>
    </row>
    <row r="11" spans="1:2" x14ac:dyDescent="0.25">
      <c r="A11" t="s">
        <v>39</v>
      </c>
      <c r="B11">
        <f>geothermal!B1</f>
        <v>5000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15.043123308388273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113.33985649054142</v>
      </c>
    </row>
    <row r="22" spans="1:2" x14ac:dyDescent="0.25">
      <c r="A22" t="s">
        <v>95</v>
      </c>
      <c r="B22" s="14">
        <f>9*10^12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2024-01-03T19:34:40Z</dcterms:modified>
</cp:coreProperties>
</file>