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419FF54B-DB4F-4705-9F4B-2E2058B7982A}"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<sst xmlns="http://schemas.openxmlformats.org/spreadsheetml/2006/main" count="859" uniqueCount="430">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</sst>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113</v>
      </c>
      <c r="C1" t="s">
        <v>2</v>
      </c>
      <c r="K1" t="s">
        <v>3</v>
      </c>
      <c r="L1" t="s">
        <v>4</v>
      </c>
    </row>
    <row r="2" spans="1:12" x14ac:dyDescent="0.45">
      <c r="A2" s="3" t="s">
        <v>5</v>
      </c>
      <c r="B2" s="4" t="str">
        <f>INDEX(L1:L48,MATCH(B1,K1:K48,0))</f>
        <v>VT</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0</v>
      </c>
      <c r="C120" s="10">
        <f t="shared" si="1"/>
        <v>0</v>
      </c>
    </row>
    <row r="121" spans="1:25" x14ac:dyDescent="0.45">
      <c r="A121" t="s">
        <v>169</v>
      </c>
      <c r="B121" s="8">
        <f>INDEX($E$64:$E$111,MATCH(About!$B$2,$A$64:$A$111,0))</f>
        <v>0</v>
      </c>
      <c r="C121" s="10">
        <f t="shared" si="1"/>
        <v>0</v>
      </c>
    </row>
    <row r="122" spans="1:25" x14ac:dyDescent="0.45">
      <c r="A122" t="s">
        <v>171</v>
      </c>
      <c r="B122" s="8">
        <f>INDEX($F$64:$F$111,MATCH(About!$B$2,$A$64:$A$111,0))</f>
        <v>330.99999999999989</v>
      </c>
      <c r="C122" s="10">
        <f t="shared" si="1"/>
        <v>1</v>
      </c>
    </row>
    <row r="123" spans="1:25" x14ac:dyDescent="0.45">
      <c r="A123" t="s">
        <v>173</v>
      </c>
      <c r="B123" s="8">
        <f>INDEX($G$64:$G$111,MATCH(About!$B$2,$A$64:$A$111,0))</f>
        <v>150.19999999999999</v>
      </c>
      <c r="C123" s="10">
        <f t="shared" si="1"/>
        <v>1</v>
      </c>
    </row>
    <row r="124" spans="1:25" x14ac:dyDescent="0.45">
      <c r="A124" t="s">
        <v>175</v>
      </c>
      <c r="B124" s="8">
        <f>INDEX($H$64:$H$111,MATCH(About!$B$2,$A$64:$A$111,0))</f>
        <v>155.19999999999999</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79.5</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126</v>
      </c>
      <c r="C128" s="10">
        <f t="shared" si="1"/>
        <v>1</v>
      </c>
    </row>
    <row r="129" spans="1:3" x14ac:dyDescent="0.45">
      <c r="A129" t="s">
        <v>182</v>
      </c>
      <c r="B129" s="8">
        <f>INDEX($M$64:$M$111,MATCH(About!$B$2,$A$64:$A$111,0))</f>
        <v>0</v>
      </c>
      <c r="C129" s="10">
        <f t="shared" si="1"/>
        <v>0</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0.7</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v>
      </c>
      <c r="C6" s="12">
        <f>IF(About!$B$2=Keys!$C$2,INDEX(Keys!$G$2:$G$31,MATCH(C$1,Keys!$F$2:$F$31,0)),IF(C$1=Keys!$C$4,IFERROR(INDEX(Keys!$J$2:$J$21,MATCH(About!$B$2&amp;"|"&amp;$A6,Keys!$I$2:$I$21,0)),$B6),$B6))</f>
        <v>0</v>
      </c>
      <c r="D6" s="12">
        <f>IF(About!$B$2=Keys!$C$2,INDEX(Keys!$G$2:$G$31,MATCH(D$1,Keys!$F$2:$F$31,0)),IF(D$1=Keys!$C$4,IFERROR(INDEX(Keys!$J$2:$J$21,MATCH(About!$B$2&amp;"|"&amp;$A6,Keys!$I$2:$I$21,0)),$B6),$B6))</f>
        <v>0</v>
      </c>
      <c r="E6" s="12">
        <f>IF(About!$B$2=Keys!$C$2,INDEX(Keys!$G$2:$G$31,MATCH(E$1,Keys!$F$2:$F$31,0)),IF(E$1=Keys!$C$4,IFERROR(INDEX(Keys!$J$2:$J$21,MATCH(About!$B$2&amp;"|"&amp;$A6,Keys!$I$2:$I$21,0)),$B6),$B6))</f>
        <v>0</v>
      </c>
      <c r="F6" s="12">
        <f>IF(About!$B$2=Keys!$C$2,INDEX(Keys!$G$2:$G$31,MATCH(F$1,Keys!$F$2:$F$31,0)),IF(F$1=Keys!$C$4,IFERROR(INDEX(Keys!$J$2:$J$21,MATCH(About!$B$2&amp;"|"&amp;$A6,Keys!$I$2:$I$21,0)),$B6),$B6))</f>
        <v>0</v>
      </c>
      <c r="G6" s="12">
        <f>IF(About!$B$2=Keys!$C$2,INDEX(Keys!$G$2:$G$31,MATCH(G$1,Keys!$F$2:$F$31,0)),IF(G$1=Keys!$C$4,IFERROR(INDEX(Keys!$J$2:$J$21,MATCH(About!$B$2&amp;"|"&amp;$A6,Keys!$I$2:$I$21,0)),$B6),$B6))</f>
        <v>0.3</v>
      </c>
      <c r="H6" s="12">
        <f>IF(About!$B$2=Keys!$C$2,INDEX(Keys!$G$2:$G$31,MATCH(H$1,Keys!$F$2:$F$31,0)),IF(H$1=Keys!$C$4,IFERROR(INDEX(Keys!$J$2:$J$21,MATCH(About!$B$2&amp;"|"&amp;$A6,Keys!$I$2:$I$21,0)),$B6),$B6))</f>
        <v>0.5</v>
      </c>
      <c r="I6" s="12">
        <f>IF(About!$B$2=Keys!$C$2,INDEX(Keys!$G$2:$G$31,MATCH(I$1,Keys!$F$2:$F$31,0)),IF(I$1=Keys!$C$4,IFERROR(INDEX(Keys!$J$2:$J$21,MATCH(About!$B$2&amp;"|"&amp;$A6,Keys!$I$2:$I$21,0)),$B6),$B6))</f>
        <v>0.7</v>
      </c>
      <c r="J6" s="12">
        <f>IF(About!$B$2=Keys!$C$2,INDEX(Keys!$G$2:$G$31,MATCH(J$1,Keys!$F$2:$F$31,0)),IF(J$1=Keys!$C$4,IFERROR(INDEX(Keys!$J$2:$J$21,MATCH(About!$B$2&amp;"|"&amp;$A6,Keys!$I$2:$I$21,0)),$B6),$B6))</f>
        <v>0.85</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1</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3.2199999999999999E-2</v>
      </c>
      <c r="C12" s="11">
        <f t="shared" si="1"/>
        <v>3.2199999999999999E-2</v>
      </c>
      <c r="D12" s="11">
        <f t="shared" si="1"/>
        <v>3.2199999999999999E-2</v>
      </c>
      <c r="E12" s="11">
        <f t="shared" si="1"/>
        <v>3.2199999999999999E-2</v>
      </c>
      <c r="F12" s="11">
        <f t="shared" si="1"/>
        <v>3.2199999999999999E-2</v>
      </c>
      <c r="G12" s="11">
        <f t="shared" si="1"/>
        <v>3.2199999999999999E-2</v>
      </c>
      <c r="H12" s="11">
        <f t="shared" si="1"/>
        <v>3.2199999999999999E-2</v>
      </c>
      <c r="I12" s="11">
        <f t="shared" si="1"/>
        <v>3.2199999999999999E-2</v>
      </c>
      <c r="J12" s="11">
        <f t="shared" si="1"/>
        <v>3.2199999999999999E-2</v>
      </c>
      <c r="K12" s="11">
        <f t="shared" si="1"/>
        <v>3.2199999999999999E-2</v>
      </c>
      <c r="L12" s="11">
        <f t="shared" si="1"/>
        <v>3.2199999999999999E-2</v>
      </c>
      <c r="M12" s="11">
        <f t="shared" si="2"/>
        <v>3.2199999999999999E-2</v>
      </c>
      <c r="N12" s="11">
        <f t="shared" si="2"/>
        <v>3.2199999999999999E-2</v>
      </c>
      <c r="O12" s="11">
        <f t="shared" si="2"/>
        <v>3.2199999999999999E-2</v>
      </c>
      <c r="P12" s="11">
        <f t="shared" si="2"/>
        <v>3.2199999999999999E-2</v>
      </c>
      <c r="Q12" s="11">
        <f t="shared" si="2"/>
        <v>3.2199999999999999E-2</v>
      </c>
      <c r="R12" s="11">
        <f t="shared" si="2"/>
        <v>3.2199999999999999E-2</v>
      </c>
      <c r="S12" s="11">
        <f t="shared" si="2"/>
        <v>3.2199999999999999E-2</v>
      </c>
      <c r="T12" s="11">
        <f t="shared" si="2"/>
        <v>3.2199999999999999E-2</v>
      </c>
      <c r="U12" s="11">
        <f t="shared" si="2"/>
        <v>3.2199999999999999E-2</v>
      </c>
      <c r="V12" s="11">
        <f t="shared" si="2"/>
        <v>3.2199999999999999E-2</v>
      </c>
      <c r="W12" s="11">
        <f t="shared" si="3"/>
        <v>3.2199999999999999E-2</v>
      </c>
      <c r="X12" s="11">
        <f t="shared" si="3"/>
        <v>3.2199999999999999E-2</v>
      </c>
      <c r="Y12" s="11">
        <f t="shared" si="3"/>
        <v>3.2199999999999999E-2</v>
      </c>
      <c r="Z12" s="11">
        <f t="shared" si="3"/>
        <v>3.2199999999999999E-2</v>
      </c>
      <c r="AA12" s="11">
        <f t="shared" si="3"/>
        <v>3.2199999999999999E-2</v>
      </c>
      <c r="AB12" s="11">
        <f t="shared" si="3"/>
        <v>3.2199999999999999E-2</v>
      </c>
      <c r="AC12" s="11">
        <f t="shared" si="3"/>
        <v>3.2199999999999999E-2</v>
      </c>
      <c r="AD12" s="11">
        <f t="shared" si="3"/>
        <v>3.2199999999999999E-2</v>
      </c>
      <c r="AE12" s="11">
        <f t="shared" si="3"/>
        <v>3.2199999999999999E-2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