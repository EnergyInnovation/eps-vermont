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VT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2548</v>
      </c>
      <c r="C4" t="inlineStr">
        <is>
          <t>City of Burlington Electric - (VT)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VT</t>
        </is>
      </c>
      <c r="H4" t="inlineStr">
        <is>
          <t>Municipal</t>
        </is>
      </c>
      <c r="I4" t="inlineStr">
        <is>
          <t>ISNE</t>
        </is>
      </c>
      <c r="J4" t="n">
        <v>16987.2</v>
      </c>
      <c r="K4" t="n">
        <v>89954</v>
      </c>
      <c r="L4" t="n">
        <v>17861</v>
      </c>
      <c r="M4" t="n">
        <v>29791.2</v>
      </c>
      <c r="N4" t="n">
        <v>167696</v>
      </c>
      <c r="O4" t="n">
        <v>3972</v>
      </c>
      <c r="P4" t="n">
        <v>8909.200000000001</v>
      </c>
      <c r="Q4" t="n">
        <v>64937</v>
      </c>
      <c r="R4" t="n">
        <v>9</v>
      </c>
      <c r="S4" t="n">
        <v>0</v>
      </c>
      <c r="T4" t="n">
        <v>0</v>
      </c>
      <c r="U4" t="n">
        <v>0</v>
      </c>
      <c r="V4" t="n">
        <v>55687.6</v>
      </c>
      <c r="W4" t="n">
        <v>322587</v>
      </c>
      <c r="X4" t="n">
        <v>21842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7601</v>
      </c>
      <c r="C5" t="inlineStr">
        <is>
          <t>Green Mountain Power Corp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VT</t>
        </is>
      </c>
      <c r="H5" t="inlineStr">
        <is>
          <t>Investor Owned</t>
        </is>
      </c>
      <c r="I5" t="inlineStr">
        <is>
          <t>ISNE</t>
        </is>
      </c>
      <c r="J5" t="n">
        <v>352142</v>
      </c>
      <c r="K5" t="n">
        <v>1594099</v>
      </c>
      <c r="L5" t="n">
        <v>226675</v>
      </c>
      <c r="M5" t="n">
        <v>283180</v>
      </c>
      <c r="N5" t="n">
        <v>1471398</v>
      </c>
      <c r="O5" t="n">
        <v>48745</v>
      </c>
      <c r="P5" t="n">
        <v>110540</v>
      </c>
      <c r="Q5" t="n">
        <v>1020096</v>
      </c>
      <c r="R5" t="n">
        <v>74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745862</v>
      </c>
      <c r="W5" t="n">
        <v>4085593</v>
      </c>
      <c r="X5" t="n">
        <v>275494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19791</v>
      </c>
      <c r="C6" t="inlineStr">
        <is>
          <t>Vermont Electric Cooperative, Inc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VT</t>
        </is>
      </c>
      <c r="H6" t="inlineStr">
        <is>
          <t>Cooperative</t>
        </is>
      </c>
      <c r="I6" t="inlineStr">
        <is>
          <t>ISNE</t>
        </is>
      </c>
      <c r="J6" t="n">
        <v>56043.6</v>
      </c>
      <c r="K6" t="n">
        <v>240929</v>
      </c>
      <c r="L6" t="n">
        <v>35964</v>
      </c>
      <c r="M6" t="n">
        <v>24544</v>
      </c>
      <c r="N6" t="n">
        <v>133028</v>
      </c>
      <c r="O6" t="n">
        <v>5139</v>
      </c>
      <c r="P6" t="n">
        <v>12968.7</v>
      </c>
      <c r="Q6" t="n">
        <v>100533</v>
      </c>
      <c r="R6" t="n">
        <v>19</v>
      </c>
      <c r="S6" t="n">
        <v>0</v>
      </c>
      <c r="T6" t="n">
        <v>0</v>
      </c>
      <c r="U6" t="n">
        <v>0</v>
      </c>
      <c r="V6" t="n">
        <v>93556.3</v>
      </c>
      <c r="W6" t="n">
        <v>474490</v>
      </c>
      <c r="X6" t="n">
        <v>41122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57313</v>
      </c>
      <c r="C7" t="inlineStr">
        <is>
          <t>Tesla Inc.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VT</t>
        </is>
      </c>
      <c r="H7" t="inlineStr">
        <is>
          <t>Behind the Meter</t>
        </is>
      </c>
      <c r="I7" t="inlineStr">
        <is>
          <t>ISNE</t>
        </is>
      </c>
      <c r="J7" t="n">
        <v>1536</v>
      </c>
      <c r="K7" t="n">
        <v>7547</v>
      </c>
      <c r="L7" t="n">
        <v>1588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1536</v>
      </c>
      <c r="W7" t="n">
        <v>7547</v>
      </c>
      <c r="X7" t="n">
        <v>1588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59580</v>
      </c>
      <c r="C8" t="inlineStr">
        <is>
          <t>SunPower Capital, LLC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VT</t>
        </is>
      </c>
      <c r="H8" t="inlineStr">
        <is>
          <t>Behind the Meter</t>
        </is>
      </c>
      <c r="I8" t="inlineStr">
        <is>
          <t>ISNE</t>
        </is>
      </c>
      <c r="J8" t="n">
        <v>344.2</v>
      </c>
      <c r="K8" t="n">
        <v>972</v>
      </c>
      <c r="L8" t="n">
        <v>335</v>
      </c>
      <c r="M8" t="inlineStr">
        <is>
          <t>.</t>
        </is>
      </c>
      <c r="N8" t="inlineStr">
        <is>
          <t>.</t>
        </is>
      </c>
      <c r="O8" t="inlineStr">
        <is>
          <t>.</t>
        </is>
      </c>
      <c r="P8" t="inlineStr">
        <is>
          <t>.</t>
        </is>
      </c>
      <c r="Q8" t="inlineStr">
        <is>
          <t>.</t>
        </is>
      </c>
      <c r="R8" t="inlineStr">
        <is>
          <t>.</t>
        </is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344.2</v>
      </c>
      <c r="W8" t="n">
        <v>972</v>
      </c>
      <c r="X8" t="n">
        <v>335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59622</v>
      </c>
      <c r="C9" t="inlineStr">
        <is>
          <t>Ahana Renewables, LLC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VT</t>
        </is>
      </c>
      <c r="H9" t="inlineStr">
        <is>
          <t>Behind the Meter</t>
        </is>
      </c>
      <c r="I9" t="inlineStr">
        <is>
          <t>ISNE</t>
        </is>
      </c>
      <c r="J9" t="n">
        <v>0</v>
      </c>
      <c r="K9" t="n">
        <v>0</v>
      </c>
      <c r="L9" t="n">
        <v>0</v>
      </c>
      <c r="M9" t="n">
        <v>164.2</v>
      </c>
      <c r="N9" t="n">
        <v>723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164.2</v>
      </c>
      <c r="W9" t="n">
        <v>723</v>
      </c>
      <c r="X9" t="n">
        <v>1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59647</v>
      </c>
      <c r="C10" t="inlineStr">
        <is>
          <t>Sunrun Inc.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VT</t>
        </is>
      </c>
      <c r="H10" t="inlineStr">
        <is>
          <t>Behind the Meter</t>
        </is>
      </c>
      <c r="I10" t="inlineStr">
        <is>
          <t>ISNE</t>
        </is>
      </c>
      <c r="J10" t="n">
        <v>4253.4</v>
      </c>
      <c r="K10" t="n">
        <v>17307</v>
      </c>
      <c r="L10" t="n">
        <v>2381</v>
      </c>
      <c r="M10" t="inlineStr">
        <is>
          <t>.</t>
        </is>
      </c>
      <c r="N10" t="inlineStr">
        <is>
          <t>.</t>
        </is>
      </c>
      <c r="O10" t="inlineStr">
        <is>
          <t>.</t>
        </is>
      </c>
      <c r="P10" t="inlineStr">
        <is>
          <t>.</t>
        </is>
      </c>
      <c r="Q10" t="inlineStr">
        <is>
          <t>.</t>
        </is>
      </c>
      <c r="R10" t="inlineStr">
        <is>
          <t>.</t>
        </is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4253.4</v>
      </c>
      <c r="W10" t="n">
        <v>17307</v>
      </c>
      <c r="X10" t="n">
        <v>2381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60025</v>
      </c>
      <c r="C11" t="inlineStr">
        <is>
          <t>Greenbacker Renewable Energy Corporation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VT</t>
        </is>
      </c>
      <c r="H11" t="inlineStr">
        <is>
          <t>Behind the Meter</t>
        </is>
      </c>
      <c r="I11" t="inlineStr">
        <is>
          <t>ISNE</t>
        </is>
      </c>
      <c r="J11" t="n">
        <v>0</v>
      </c>
      <c r="K11" t="n">
        <v>0</v>
      </c>
      <c r="L11" t="n">
        <v>0</v>
      </c>
      <c r="M11" t="n">
        <v>3097</v>
      </c>
      <c r="N11" t="n">
        <v>21159</v>
      </c>
      <c r="O11" t="n">
        <v>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3097</v>
      </c>
      <c r="W11" t="n">
        <v>21159</v>
      </c>
      <c r="X11" t="n">
        <v>25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60981</v>
      </c>
      <c r="C12" t="inlineStr">
        <is>
          <t>TerraForm US Energy Services, LLC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VT</t>
        </is>
      </c>
      <c r="H12" t="inlineStr">
        <is>
          <t>Behind the Meter</t>
        </is>
      </c>
      <c r="I12" t="inlineStr">
        <is>
          <t>ISNE</t>
        </is>
      </c>
      <c r="J12" t="n">
        <v>0</v>
      </c>
      <c r="K12" t="n">
        <v>0</v>
      </c>
      <c r="L12" t="n">
        <v>0</v>
      </c>
      <c r="M12" t="n">
        <v>632</v>
      </c>
      <c r="N12" t="n">
        <v>2352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632</v>
      </c>
      <c r="W12" t="n">
        <v>2352</v>
      </c>
      <c r="X12" t="n">
        <v>2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99999</v>
      </c>
      <c r="C13" t="inlineStr">
        <is>
          <t>Adjustment 2024</t>
        </is>
      </c>
      <c r="D13" t="inlineStr">
        <is>
          <t>A</t>
        </is>
      </c>
      <c r="E13" t="inlineStr">
        <is>
          <t>Bundled</t>
        </is>
      </c>
      <c r="F13" t="inlineStr">
        <is>
          <t>I</t>
        </is>
      </c>
      <c r="G13" t="inlineStr">
        <is>
          <t>VT</t>
        </is>
      </c>
      <c r="H13" t="inlineStr"/>
      <c r="I13" t="inlineStr">
        <is>
          <t>ISNE</t>
        </is>
      </c>
      <c r="J13" t="n">
        <v>57181.7</v>
      </c>
      <c r="K13" t="n">
        <v>279347</v>
      </c>
      <c r="L13" t="n">
        <v>39156</v>
      </c>
      <c r="M13" t="n">
        <v>27350.6</v>
      </c>
      <c r="N13" t="n">
        <v>155767</v>
      </c>
      <c r="O13" t="n">
        <v>6424</v>
      </c>
      <c r="P13" t="n">
        <v>15397.2</v>
      </c>
      <c r="Q13" t="n">
        <v>91103</v>
      </c>
      <c r="R13" t="n">
        <v>141</v>
      </c>
      <c r="S13" t="n">
        <v>0</v>
      </c>
      <c r="T13" t="n">
        <v>0</v>
      </c>
      <c r="U13" t="n">
        <v>0</v>
      </c>
      <c r="V13" t="n">
        <v>99929.5</v>
      </c>
      <c r="W13" t="n">
        <v>526217</v>
      </c>
      <c r="X13" t="n">
        <v>45721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VT</t>
        </is>
      </c>
      <c r="B2">
        <f>SUMIFS('EIA-861 Sales 2024'!$Y$4:$Y$13,'EIA-861 Sales 2024'!$Z$4:$Z$13,"cost_service")</f>
        <v/>
      </c>
      <c r="C2">
        <f>SUMIFS('EIA-861 Sales 2024'!$Y$4:$Y$13,'EIA-861 Sales 2024'!$Z$4:$Z$13,"procurement")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2026-06-02T20:15:33Z</dcterms:created>
  <dcterms:modified xmlns:dcterms="http://purl.org/dc/terms/" xmlns:xsi="http://www.w3.org/2001/XMLSchema-instance" xsi:type="dcterms:W3CDTF">2026-06-02T20:15:33Z</dcterms:modified>
</cp:coreProperties>
</file>