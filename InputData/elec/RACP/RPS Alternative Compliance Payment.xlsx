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Olivia Ashmoore\Documents\EPS_Models by Region\RMI\RMI_all_states\VT\elec\RACP\"/>
    </mc:Choice>
  </mc:AlternateContent>
  <xr:revisionPtr revIDLastSave="0" documentId="8_{AE88778D-395F-4BE6-8320-5D903343F5F5}" xr6:coauthVersionLast="47" xr6:coauthVersionMax="47" xr10:uidLastSave="{00000000-0000-0000-0000-000000000000}"/>
  <bookViews>
    <workbookView xWindow="-120" yWindow="-120" windowWidth="29040" windowHeight="17520" activeTab="4" xr2:uid="{987F1A2C-D0FF-46D7-8396-B08F06D764BF}"/>
  </bookViews>
  <sheets>
    <sheet name="About" sheetId="1" r:id="rId1"/>
    <sheet name="RPS Targets (%)" sheetId="12" r:id="rId2"/>
    <sheet name="ACP by State" sheetId="5" r:id="rId3"/>
    <sheet name="RACP-BRACP" sheetId="10" r:id="rId4"/>
    <sheet name="RACP-RACP" sheetId="11"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6" i="12" l="1"/>
  <c r="C165" i="12"/>
  <c r="C164" i="12"/>
  <c r="C163" i="12"/>
  <c r="C162" i="12"/>
  <c r="C161" i="12"/>
  <c r="C160" i="12"/>
  <c r="C159" i="12"/>
  <c r="C158" i="12"/>
  <c r="C157" i="12"/>
  <c r="C156" i="12"/>
  <c r="C155" i="12"/>
  <c r="C154" i="12"/>
  <c r="C153" i="12"/>
  <c r="C152" i="12"/>
  <c r="C151" i="12"/>
  <c r="C150" i="12"/>
  <c r="C149" i="12"/>
  <c r="C148" i="12"/>
  <c r="C147" i="12"/>
  <c r="C146" i="12"/>
  <c r="C145" i="12"/>
  <c r="C144" i="12"/>
  <c r="C143" i="12"/>
  <c r="C142" i="12"/>
  <c r="C141" i="12"/>
  <c r="C140" i="12"/>
  <c r="C139" i="12"/>
  <c r="C138" i="12"/>
  <c r="C137" i="12"/>
  <c r="C136" i="12"/>
  <c r="C135" i="12"/>
  <c r="C134" i="12"/>
  <c r="C133" i="12"/>
  <c r="C132" i="12"/>
  <c r="C131" i="12"/>
  <c r="C130" i="12"/>
  <c r="C129" i="12"/>
  <c r="C128" i="12"/>
  <c r="C127" i="12"/>
  <c r="C126" i="12"/>
  <c r="C125" i="12"/>
  <c r="C124" i="12"/>
  <c r="C123" i="12"/>
  <c r="C122" i="12"/>
  <c r="C121" i="12"/>
  <c r="C120" i="12"/>
  <c r="C119" i="12"/>
  <c r="C118" i="12"/>
  <c r="C117" i="12"/>
  <c r="C116" i="12"/>
  <c r="C115" i="12"/>
  <c r="C114" i="12"/>
  <c r="C113" i="12"/>
  <c r="C112" i="12"/>
  <c r="C111" i="12"/>
  <c r="C110" i="12"/>
  <c r="C109" i="12"/>
  <c r="C108" i="12"/>
  <c r="C107" i="12"/>
  <c r="C106" i="12"/>
  <c r="C105" i="12"/>
  <c r="C104" i="12"/>
  <c r="C103" i="12"/>
  <c r="C102" i="12"/>
  <c r="C101" i="12"/>
  <c r="C100" i="12"/>
  <c r="C99" i="12"/>
  <c r="C98" i="12"/>
  <c r="C97" i="12"/>
  <c r="C96" i="12"/>
  <c r="C95" i="12"/>
  <c r="C94" i="12"/>
  <c r="C93" i="12"/>
  <c r="C92" i="12"/>
  <c r="C91" i="12"/>
  <c r="C90" i="12"/>
  <c r="C89" i="12"/>
  <c r="C88" i="12"/>
  <c r="C87" i="12"/>
  <c r="C86" i="12"/>
  <c r="C85" i="12"/>
  <c r="C84" i="12"/>
  <c r="C83" i="12"/>
  <c r="C82" i="12"/>
  <c r="C81" i="12"/>
  <c r="C80" i="12"/>
  <c r="C79" i="12"/>
  <c r="C78" i="12"/>
  <c r="C77" i="12"/>
  <c r="C76" i="12"/>
  <c r="C75" i="12"/>
  <c r="C74" i="12"/>
  <c r="C73" i="12"/>
  <c r="C72" i="12"/>
  <c r="C71" i="12"/>
  <c r="C70" i="12"/>
  <c r="C69" i="12"/>
  <c r="C68" i="12"/>
  <c r="C67" i="12"/>
  <c r="C66" i="12"/>
  <c r="C65" i="12"/>
  <c r="C64" i="12"/>
  <c r="C63" i="12"/>
  <c r="C62" i="12"/>
  <c r="C61" i="12"/>
  <c r="C60" i="12"/>
  <c r="C59" i="12"/>
  <c r="C58" i="12"/>
  <c r="C57" i="12"/>
  <c r="C56" i="12"/>
  <c r="C55" i="12"/>
  <c r="C54" i="12"/>
  <c r="C53" i="12"/>
  <c r="C52" i="12"/>
  <c r="C51" i="12"/>
  <c r="C50" i="12"/>
  <c r="C49" i="12"/>
  <c r="C48" i="12"/>
  <c r="C47" i="12"/>
  <c r="C46" i="12"/>
  <c r="C45" i="12"/>
  <c r="C44" i="12"/>
  <c r="C43" i="12"/>
  <c r="C42" i="12"/>
  <c r="C41" i="12"/>
  <c r="C40" i="12"/>
  <c r="C39" i="12"/>
  <c r="C38" i="12"/>
  <c r="C37" i="12"/>
  <c r="C36" i="12"/>
  <c r="C35" i="12"/>
  <c r="C34" i="12"/>
  <c r="C33" i="12"/>
  <c r="C32" i="12"/>
  <c r="C31" i="12"/>
  <c r="C30" i="12"/>
  <c r="C29" i="12"/>
  <c r="C28" i="12"/>
  <c r="C27" i="12"/>
  <c r="C26" i="12"/>
  <c r="B2" i="1" l="1"/>
  <c r="B2"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tc={D224BDA4-D47C-4514-B7E3-DDF888B44A79}</author>
    <author>tc={7D074818-940C-4F95-AB60-B6B4240B3D15}</author>
    <author>tc={A09EA0E3-9AED-4CC8-8C7A-9842DA224ADD}</author>
    <author>tc={AC94F27D-B00B-4E60-AF77-BD7AB65D7EF4}</author>
    <author>tc={B5B9278C-DF98-41A2-A5B2-CDA50FB5E0C9}</author>
    <author>tc={04713388-FC93-4E10-AA3D-1A0EC8BB847A}</author>
  </authors>
  <commentList>
    <comment ref="AU42" authorId="0" shapeId="0" xr:uid="{D224BDA4-D47C-4514-B7E3-DDF888B44A79}">
      <text>
        <t>[Threaded comment]
Your version of Excel allows you to read this threaded comment; however, any edits to it will get removed if the file is opened in a newer version of Excel. Learn more: https://go.microsoft.com/fwlink/?linkid=870924
Comment:
    Nonbinding CES</t>
      </text>
    </comment>
    <comment ref="AZ57" authorId="1" shapeId="0" xr:uid="{7D074818-940C-4F95-AB60-B6B4240B3D15}">
      <text>
        <t>[Threaded comment]
Your version of Excel allows you to read this threaded comment; however, any edits to it will get removed if the file is opened in a newer version of Excel. Learn more: https://go.microsoft.com/fwlink/?linkid=870924
Comment:
    Set to 100% starting in 2045 per interpretation of law</t>
      </text>
    </comment>
    <comment ref="BE77" authorId="2" shapeId="0" xr:uid="{A09EA0E3-9AED-4CC8-8C7A-9842DA224ADD}">
      <text>
        <t>[Threaded comment]
Your version of Excel allows you to read this threaded comment; however, any edits to it will get removed if the file is opened in a newer version of Excel. Learn more: https://go.microsoft.com/fwlink/?linkid=870924
Comment:
    Goal not requirement</t>
      </text>
    </comment>
    <comment ref="AA78" authorId="3" shapeId="0" xr:uid="{AC94F27D-B00B-4E60-AF77-BD7AB65D7EF4}">
      <text>
        <t>[Threaded comment]
Your version of Excel allows you to read this threaded comment; however, any edits to it will get removed if the file is opened in a newer version of Excel. Learn more: https://go.microsoft.com/fwlink/?linkid=870924
Comment:
    Add in recently passed MI clean energy law</t>
      </text>
    </comment>
    <comment ref="BE96" authorId="4" shapeId="0" xr:uid="{B5B9278C-DF98-41A2-A5B2-CDA50FB5E0C9}">
      <text>
        <t>[Threaded comment]
Your version of Excel allows you to read this threaded comment; however, any edits to it will get removed if the file is opened in a newer version of Excel. Learn more: https://go.microsoft.com/fwlink/?linkid=870924
Comment:
    Fix &gt;100%</t>
      </text>
    </comment>
    <comment ref="BE121" authorId="5" shapeId="0" xr:uid="{04713388-FC93-4E10-AA3D-1A0EC8BB847A}">
      <text>
        <t>[Threaded comment]
Your version of Excel allows you to read this threaded comment; however, any edits to it will get removed if the file is opened in a newer version of Excel. Learn more: https://go.microsoft.com/fwlink/?linkid=870924
Comment:
    CES nonbinding</t>
      </text>
    </comment>
  </commentList>
</comments>
</file>

<file path=xl/sharedStrings.xml><?xml version="1.0" encoding="utf-8"?>
<sst xmlns="http://schemas.openxmlformats.org/spreadsheetml/2006/main" count="657" uniqueCount="278">
  <si>
    <t>Notes:</t>
  </si>
  <si>
    <t>For now, we put in a cost cap of $100/MWh.</t>
  </si>
  <si>
    <t>$/MWh</t>
  </si>
  <si>
    <t>Cost Cap</t>
  </si>
  <si>
    <t>RACP RPS Alternative Compliance Payment</t>
  </si>
  <si>
    <t>This variable is input using the currency unit specified in web-app/OCCF, not 2012 USD.</t>
  </si>
  <si>
    <t xml:space="preserve">This is because it is a control variable visible in the web app, so users will interact with </t>
  </si>
  <si>
    <t>this lever in output currency units.</t>
  </si>
  <si>
    <t>2023 dollars per 2012 dollar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</si>
  <si>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</si>
  <si>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</si>
  <si>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</si>
  <si>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</si>
  <si>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</si>
  <si>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</si>
  <si>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</si>
  <si>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</si>
  <si>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</si>
  <si>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</si>
  <si>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</si>
  <si>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</si>
  <si>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</si>
  <si>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</si>
  <si>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</si>
  <si>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</si>
  <si>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</si>
  <si>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</si>
  <si>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</si>
  <si>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</si>
  <si>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</si>
  <si>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</si>
  <si>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</si>
  <si>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</si>
  <si>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</si>
  <si>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</si>
  <si>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</si>
  <si>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</si>
  <si>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</si>
  <si>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</si>
  <si>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</si>
  <si>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</si>
  <si>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</si>
  <si>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</si>
  <si>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</si>
  <si>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</si>
  <si>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</si>
  <si>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</si>
  <si>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</si>
  <si>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</si>
  <si>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</si>
  <si>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</si>
  <si>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</si>
  <si>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</si>
  <si>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</si>
  <si>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</si>
  <si>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</si>
  <si>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</si>
  <si>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</si>
  <si>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</si>
  <si>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</si>
  <si>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</si>
  <si>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</si>
  <si>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</si>
  <si>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</si>
  <si>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</si>
  <si>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</si>
  <si>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</si>
  <si>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</si>
  <si>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</si>
  <si>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</si>
  <si>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</si>
  <si>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</si>
  <si>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</si>
  <si>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</si>
  <si>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</si>
  <si>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</si>
  <si>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</si>
  <si>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</si>
  <si>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</si>
  <si>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</si>
  <si>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</si>
  <si>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</si>
  <si>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</si>
  <si>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</si>
  <si>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</si>
  <si>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</si>
  <si>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</si>
  <si>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</si>
  <si>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</si>
  <si>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</si>
  <si>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</si>
  <si>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</si>
  <si>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</si>
  <si>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</si>
  <si>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</si>
  <si>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</si>
  <si>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</si>
  <si>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</si>
  <si>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</si>
  <si>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</si>
  <si>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</si>
  <si>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</si>
  <si>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</si>
  <si>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</si>
  <si>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</si>
  <si>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</si>
  <si>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</si>
  <si>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</si>
  <si>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</si>
  <si>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RPS and CES Percentage Targets</t>
  </si>
  <si>
    <t>Contact: Galen Barbose</t>
  </si>
  <si>
    <t>Lawrence Berkeley National Laboratory</t>
  </si>
  <si>
    <t>RPS and CES Targets (Percent of Applicable Retail Electricity Sales)</t>
  </si>
  <si>
    <t>Has RPS?</t>
  </si>
  <si>
    <t>State</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</si>
  <si>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</si>
  <si>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</si>
  <si>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</si>
  <si>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</si>
  <si>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</si>
  <si>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</si>
  <si>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</si>
  <si>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</si>
  <si>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</si>
  <si>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</si>
  <si>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</si>
  <si>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</si>
  <si>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</si>
  <si>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</si>
  <si>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</si>
  <si>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</si>
  <si>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</si>
  <si>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</si>
  <si>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</si>
  <si>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</si>
  <si>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</si>
  <si>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</si>
  <si>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</si>
  <si>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</si>
  <si>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</si>
  <si>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</si>
  <si>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</si>
  <si>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</si>
  <si>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</si>
  <si>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</si>
  <si>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</si>
  <si>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</si>
  <si>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</si>
  <si>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</si>
  <si>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</si>
  <si>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</si>
  <si>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</si>
  <si>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</si>
  <si>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</si>
  <si>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</si>
  <si>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</si>
  <si>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</si>
  <si>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</si>
  <si>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</si>
  <si>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</si>
  <si>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</si>
  <si>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</si>
  <si>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</si>
  <si>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</si>
  <si>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</si>
  <si>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</si>
  <si>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</si>
  <si>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</si>
  <si>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</si>
  <si>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</si>
  <si>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</si>
  <si>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   Class I (Thermal)</t>
  </si>
  <si>
    <t xml:space="preserve">   Class II (Solar Carve-Out)</t>
  </si>
  <si>
    <t xml:space="preserve">   Class III (Existing Biomass/Methane)</t>
  </si>
  <si>
    <t xml:space="preserve">   Class IV (Existing Small Hydro)</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</si>
  <si>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</si>
  <si>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</si>
  <si>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</si>
  <si>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</si>
  <si>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</si>
  <si>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</si>
  <si>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</si>
  <si>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</si>
  <si>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</si>
  <si>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</si>
  <si>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</si>
  <si>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</si>
  <si>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</si>
  <si>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</si>
  <si>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</si>
  <si>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</si>
  <si>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</si>
  <si>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</si>
  <si>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</si>
  <si>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</si>
  <si>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</si>
  <si>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Alternative Compliance Payment</t>
  </si>
  <si>
    <t>Source</t>
  </si>
  <si>
    <t>Arizona Corporation Commission (ACC) https://azcc.gov/</t>
  </si>
  <si>
    <t>California Public Utilities Commission (CPUC) https://www.cpuc.ca.gov/</t>
  </si>
  <si>
    <t>Colorado Public Utilities Commission (PUC) https://puc.colorado.gov/</t>
  </si>
  <si>
    <t>Connecticut Public Utilities Regulatory Authority (PURA) https://portal.ct.gov/PURA</t>
  </si>
  <si>
    <t>Delaware Public Service Commission (PSC) https://depsc.delaware.gov/</t>
  </si>
  <si>
    <t>Hawaii Public Utilities Commission (PUC) https://puc.hawaii.gov/</t>
  </si>
  <si>
    <t>Iowa Utilities Board (IUB) https://iub.iowa.gov/</t>
  </si>
  <si>
    <t>Illinois Commerce Commission (ICC) https://www.icc.illinois.gov/</t>
  </si>
  <si>
    <t>Kansas Corporation Commission (KCC) https://kcc.ks.gov/</t>
  </si>
  <si>
    <t>Massachusetts Department of Energy Resources (DOER) https://www.mass.gov/orgs/department-of-energy-resources</t>
  </si>
  <si>
    <t>Maryland Public Service Commission (PSC) http://www.psc.state.md.us/</t>
  </si>
  <si>
    <t>Maine Public Utilities Commission (PUC) https://www.maine.gov/mpuc/</t>
  </si>
  <si>
    <t>Michigan Public Service Commission (MPSC) https://www.michigan.gov/mpsc/</t>
  </si>
  <si>
    <t>Minnesota Public Utilities Commission (PUC) https://mn.gov/puc/</t>
  </si>
  <si>
    <t>Missouri Public Service Commission (PSC) https://psc.mo.gov/</t>
  </si>
  <si>
    <t>Montana Public Service Commission (PSC) http://psc.mt.gov/</t>
  </si>
  <si>
    <t>North Carolina Utilities Commission (NCUC) https://www.ncuc.net/</t>
  </si>
  <si>
    <t>Nebraska Public Service Commission (PSC) http://psc.nebraska.gov/</t>
  </si>
  <si>
    <t>New Hampshire Public Utilities Commission (PUC) https://www.puc.nh.gov/</t>
  </si>
  <si>
    <t>New Jersey Board of Public Utilities (BPU) https://www.nj.gov/bpu/</t>
  </si>
  <si>
    <t>New Mexico Public Regulation Commission (PRC) https://www.nmprc.state.nm.us/</t>
  </si>
  <si>
    <t>Nevada Public Utilities Commission (PUC) http://puc.nv.gov/</t>
  </si>
  <si>
    <t>New York State Public Service Commission (PSC) http://www.dps.ny.gov/</t>
  </si>
  <si>
    <t>Public Utilities Commission of Ohio (PUCO) http://www.puco.ohio.gov/</t>
  </si>
  <si>
    <t>Oregon Public Utility Commission (PUC) https://www.oregon.gov/puc/</t>
  </si>
  <si>
    <t>Pennsylvania Public Utility Commission (PUC) https://www.puc.pa.gov/</t>
  </si>
  <si>
    <t>Rhode Island Public Utilities Commission (PUC) https://ripuc.ri.gov/</t>
  </si>
  <si>
    <t>Public Utility Commission of Texas (PUCT) https://www.puc.texas.gov/</t>
  </si>
  <si>
    <t>Virginia State Corporation Commission (SCC) https://www.scc.virginia.gov/</t>
  </si>
  <si>
    <t>Vermont Public Utility Commission (PUC) https://puc.vermont.gov/</t>
  </si>
  <si>
    <t>Washington Utilities and Transportation Commission (UTC) https://www.utc.wa.gov/</t>
  </si>
  <si>
    <t>Public Service Commission of Wisconsin (PSC) https://psc.wi.gov/</t>
  </si>
  <si>
    <t>State Abbr.</t>
  </si>
  <si>
    <t>Sources:</t>
  </si>
  <si>
    <t>2012 prices</t>
  </si>
  <si>
    <t>2018............................................................................. .</t>
  </si>
  <si>
    <t>2019............................................................................. .</t>
  </si>
  <si>
    <t>2020............................................................................. .</t>
  </si>
  <si>
    <t>2021............................................................................. .</t>
  </si>
  <si>
    <t>2022............................................................................. .</t>
  </si>
  <si>
    <t>2023............................................................................. .</t>
  </si>
  <si>
    <t>more details</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</si>
  <si>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</si>
  <si>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https://programs.dsireusa.org/system/program/detail/195/renewables-portfolio-standard</t>
  </si>
  <si>
    <t>https://programs.dsireusa.org/system/program/detail/1231/renewables-portfolio-standard</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</si>
  <si>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</si>
  <si>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https://programs.dsireusa.org/system/program/detail/1085/renewable-energy-portfolio-standard</t>
  </si>
  <si>
    <t>https://programs.dsireusa.org/system/program/detail/22536/clean-energy-standard</t>
  </si>
  <si>
    <t>https://programs.dsireusa.org/system/program/detail/452/renewable-portfolio-standard</t>
  </si>
  <si>
    <t>https://programs.dsireusa.org/system/program/detail/384/renewable-resource-standard</t>
  </si>
  <si>
    <t>https://programs.dsireusa.org/system/program/detail/2523/renewable-portfolio-standard</t>
  </si>
  <si>
    <t>https://programs.dsireusa.org/system/program/detail/564/renewables-portfolio-standard</t>
  </si>
  <si>
    <t>https://programs.dsireusa.org/system/program/detail/5883/clean-energy-standard</t>
  </si>
  <si>
    <t>None stated. The Commission may assess penalties if utilities fail to comply.</t>
  </si>
  <si>
    <t>https://programs.dsireusa.org/system/program/detail/2660/clean-energy-and-energy-efficiency-portfolio-standard</t>
  </si>
  <si>
    <t>https://programs.dsireusa.org/system/program/detail/2934/alternative-energy-portfolio-standard</t>
  </si>
  <si>
    <t>The Oregon Public Utilities Commission (PUC) established the 2014-2015 ACP rate as $110 per megawatt-hour (MWh) for Portland General Electric, Pacific Power, and electric service providers. </t>
  </si>
  <si>
    <t>https://programs.dsireusa.org/system/program/detail/2594/renewable-portfolio-standard</t>
  </si>
  <si>
    <t>https://programs.dsireusa.org/system/program/detail/1095/renewable-energy-standard</t>
  </si>
  <si>
    <t>programs exist at the city level</t>
  </si>
  <si>
    <t>https://programs.dsireusa.org/system/program/detail/5786/renewable-energy-standard</t>
  </si>
  <si>
    <t>https://programs.dsireusa.org/system/program/detail/2350/renewable-energy-standard</t>
  </si>
  <si>
    <t>none provided</t>
  </si>
  <si>
    <t>N/A</t>
  </si>
  <si>
    <t>If a state does not have an existing RACP, we set the value to 9999</t>
  </si>
  <si>
    <t>(510) 495-2593, glbarbose@lbl.gov</t>
  </si>
  <si>
    <t>Last update: August 2024</t>
  </si>
  <si>
    <t xml:space="preserve">CES is based on emission reduction target (80% by 2030 for most utilities, 100% by 2050 for Xcel), translated here into an equivalent minimum percent of retail sales from zero-carbon generation sources.  </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</si>
  <si>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</si>
  <si>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</si>
  <si>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</si>
  <si>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</si>
  <si>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</si>
  <si>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</si>
  <si>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</si>
  <si>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</si>
  <si>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</si>
  <si>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NH </t>
  </si>
  <si>
    <t>RPS applies only to IOUs and competetitive retail suppliers. Class I Non-Solar includes the TREC and SuSI programs, but excludes the previous SREC registration program.</t>
  </si>
  <si>
    <t xml:space="preserve">   DG Carve-Out (Wtd.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</si>
</sst>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9"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pplyNumberFormat="0" applyFill="0" applyBorder="0" applyAlignment="0" applyProtection="0">
      <alignment vertical="top"/>
      <protection locked="0"/>
    </xf>
    <xf numFmtId="164" fontId="4" fillId="0" borderId="0">
      <alignment horizontal="left" wrapText="1"/>
    </xf>
    <xf numFmtId="9" fontId="15" fillId="0" borderId="0" applyFont="0" applyFill="0" applyBorder="0" applyAlignment="0" applyProtection="0"/>
    <xf numFmtId="0" fontId="17" fillId="0" borderId="0" applyNumberFormat="0" applyFill="0" applyBorder="0" applyAlignment="0" applyProtection="0"/>
  </cellStyleXfs>
  <cellXfs count="63">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0" fontId="0" fillId="0" borderId="0" xfId="4" applyNumberFormat="1" applyFont="1" applyFill="1"/>
    <xf numFmtId="165"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cellXfs>
  <cellStyles count="6">
    <cellStyle name="Hyperlink" xfId="5" builtinId="8"/>
    <cellStyle name="Hyperlink 3" xfId="2" xr:uid="{96DC1FD7-82A3-4831-A57F-C4C1355165E6}"/>
    <cellStyle name="Normal" xfId="0" builtinId="0"/>
    <cellStyle name="Normal 4" xfId="1" xr:uid="{1579591F-E35C-47C3-AB59-E9452D2E251B}"/>
    <cellStyle name="Normal 5" xfId="3" xr:uid="{14DC2807-746C-4D62-869D-DF389704F7B1}"/>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38100</xdr:colOff>
      <xdr:row>1</xdr:row>
      <xdr:rowOff>28575</xdr:rowOff>
    </xdr:from>
    <xdr:to>
      <xdr:col>26</xdr:col>
      <xdr:colOff>256669</xdr:colOff>
      <xdr:row>7</xdr:row>
      <xdr:rowOff>1371</xdr:rowOff>
    </xdr:to>
    <xdr:pic>
      <xdr:nvPicPr>
        <xdr:cNvPr id="2" name="Picture 11" descr="http://www.lbl.gov/LBL-PID/CSO/assets/cso-downloads/pc/big1.bmp">
          <a:extLst>
            <a:ext uri="{FF2B5EF4-FFF2-40B4-BE49-F238E27FC236}">
              <a16:creationId xmlns:a16="http://schemas.microsoft.com/office/drawing/2014/main" id="{421F5E54-6F43-436D-8011-3200205ED87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425950" y="257175"/>
          <a:ext cx="4806444" cy="963396"/>
        </a:xfrm>
        <a:prstGeom prst="rect">
          <a:avLst/>
        </a:prstGeom>
        <a:noFill/>
      </xdr:spPr>
    </xdr:pic>
    <xdr:clientData/>
  </xdr:twoCellAnchor>
  <xdr:twoCellAnchor>
    <xdr:from>
      <xdr:col>3</xdr:col>
      <xdr:colOff>0</xdr:colOff>
      <xdr:row>8</xdr:row>
      <xdr:rowOff>11206</xdr:rowOff>
    </xdr:from>
    <xdr:to>
      <xdr:col>41</xdr:col>
      <xdr:colOff>582705</xdr:colOff>
      <xdr:row>10</xdr:row>
      <xdr:rowOff>0</xdr:rowOff>
    </xdr:to>
    <xdr:sp macro="" textlink="">
      <xdr:nvSpPr>
        <xdr:cNvPr id="3" name="TextBox 2">
          <a:extLst>
            <a:ext uri="{FF2B5EF4-FFF2-40B4-BE49-F238E27FC236}">
              <a16:creationId xmlns:a16="http://schemas.microsoft.com/office/drawing/2014/main" id="{20F8DF6F-A023-405B-B942-F7DC905602AA}"/>
            </a:ext>
          </a:extLst>
        </xdr:cNvPr>
        <xdr:cNvSpPr txBox="1"/>
      </xdr:nvSpPr>
      <xdr:spPr>
        <a:xfrm>
          <a:off x="4387850" y="1395506"/>
          <a:ext cx="14943230" cy="3189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a:t>
          </a:r>
          <a:r>
            <a:rPr lang="en-US" sz="1100" i="1">
              <a:solidFill>
                <a:schemeClr val="dk1"/>
              </a:solidFill>
              <a:effectLst/>
              <a:latin typeface="+mn-lt"/>
              <a:ea typeface="+mn-ea"/>
              <a:cs typeface="+mn-cs"/>
            </a:rPr>
            <a:t>Transmission Permitting &amp; Technical Assistance Division </a:t>
          </a:r>
          <a:r>
            <a:rPr lang="en-US" sz="1100" i="1">
              <a:solidFill>
                <a:schemeClr val="dk1"/>
              </a:solidFill>
              <a:latin typeface="+mn-lt"/>
              <a:ea typeface="+mn-ea"/>
              <a:cs typeface="+mn-cs"/>
            </a:rPr>
            <a:t>of the U.S. Department of Energy’s Office of Electricity Delivery and Energy Reliability under Contract No. DE-AC02-05CH11231. </a:t>
          </a:r>
        </a:p>
      </xdr:txBody>
    </xdr:sp>
    <xdr:clientData/>
  </xdr:twoCellAnchor>
</xdr:wsDr>
</file>

<file path=xl/persons/person.xml><?xml version="1.0" encoding="utf-8"?>
<personList xmlns="http://schemas.microsoft.com/office/spreadsheetml/2018/threadedcomments" xmlns:x="http://schemas.openxmlformats.org/spreadsheetml/2006/main">
  <person displayName="Olivia Ashmoore" id="{C0052626-9F33-441E-9CB9-D5CAB759B144}" userId="ef32a0b51ef278ca"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U42" dT="2024-03-28T20:04:28.87" personId="{C0052626-9F33-441E-9CB9-D5CAB759B144}" id="{D224BDA4-D47C-4514-B7E3-DDF888B44A79}">
    <text>Nonbinding CES</text>
  </threadedComment>
  <threadedComment ref="AZ57" dT="2024-03-04T22:53:38.76" personId="{C0052626-9F33-441E-9CB9-D5CAB759B144}" id="{7D074818-940C-4F95-AB60-B6B4240B3D15}">
    <text>Set to 100% starting in 2045 per interpretation of law</text>
  </threadedComment>
  <threadedComment ref="BE77" dT="2024-03-28T20:13:39.97" personId="{C0052626-9F33-441E-9CB9-D5CAB759B144}" id="{A09EA0E3-9AED-4CC8-8C7A-9842DA224ADD}">
    <text>Goal not requirement</text>
  </threadedComment>
  <threadedComment ref="AA78" dT="2024-03-04T22:57:20.18" personId="{C0052626-9F33-441E-9CB9-D5CAB759B144}" id="{AC94F27D-B00B-4E60-AF77-BD7AB65D7EF4}">
    <text>Add in recently passed MI clean energy law</text>
  </threadedComment>
  <threadedComment ref="BE96" dT="2024-03-28T20:19:55.58" personId="{C0052626-9F33-441E-9CB9-D5CAB759B144}" id="{B5B9278C-DF98-41A2-A5B2-CDA50FB5E0C9}">
    <text>Fix &gt;100%</text>
  </threadedComment>
  <threadedComment ref="BE121" dT="2024-03-28T20:22:43.52" personId="{C0052626-9F33-441E-9CB9-D5CAB759B144}" id="{04713388-FC93-4E10-AA3D-1A0EC8BB847A}">
    <text>CES nonbinding</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F84CE-31BD-44F2-91E9-58D4BA5F9B1E}">
  <dimension ref="A1:L102"/>
  <sheetViews>
    <sheetView topLeftCell="A22" workbookViewId="0">
      <selection activeCell="B60" sqref="B60"/>
    </sheetView>
  </sheetViews>
  <sheetFormatPr defaultRowHeight="15" x14ac:dyDescent="0.25"/>
  <cols>
    <col min="1" max="1" width="13.28515625" customWidth="1"/>
  </cols>
  <sheetData>
    <row r="1" spans="1:12" x14ac:dyDescent="0.25">
      <c r="A1" s="1" t="s">
        <v>4</v>
      </c>
      <c r="B1" s="3" t="s">
        <v>97</v>
      </c>
      <c r="C1" s="2">
        <v>45742</v>
      </c>
      <c r="E1" s="2">
        <v>45467</v>
      </c>
      <c r="K1" s="3" t="s">
        <v>9</v>
      </c>
      <c r="L1" s="3" t="s">
        <v>10</v>
      </c>
    </row>
    <row r="2" spans="1:12" x14ac:dyDescent="0.25">
      <c r="B2" s="4" t="str">
        <f>LOOKUP(B1,K1:L50,L1:L50)</f>
        <v>VT</v>
      </c>
      <c r="K2" s="3" t="s">
        <v>11</v>
      </c>
      <c r="L2" s="3" t="s">
        <v>12</v>
      </c>
    </row>
    <row r="3" spans="1:12" x14ac:dyDescent="0.25">
      <c r="K3" s="3" t="s">
        <v>13</v>
      </c>
      <c r="L3" s="3" t="s">
        <v>14</v>
      </c>
    </row>
    <row r="4" spans="1:12" x14ac:dyDescent="0.25">
      <c r="A4" s="1" t="s">
        <v>231</v>
      </c>
      <c r="K4" s="3" t="s">
        <v>15</v>
      </c>
      <c r="L4" s="3" t="s">
        <v>16</v>
      </c>
    </row>
    <row r="5" spans="1:12" x14ac:dyDescent="0.25">
      <c r="A5" s="1" t="s">
        <v>114</v>
      </c>
      <c r="B5" s="1" t="s">
        <v>197</v>
      </c>
      <c r="K5" s="3" t="s">
        <v>17</v>
      </c>
      <c r="L5" s="3" t="s">
        <v>18</v>
      </c>
    </row>
    <row r="6" spans="1:12" x14ac:dyDescent="0.25">
      <c r="A6" s="36" t="s">
        <v>14</v>
      </c>
      <c r="B6" t="s">
        <v>198</v>
      </c>
      <c r="K6" s="3" t="s">
        <v>19</v>
      </c>
      <c r="L6" s="3" t="s">
        <v>20</v>
      </c>
    </row>
    <row r="7" spans="1:12" x14ac:dyDescent="0.25">
      <c r="A7" s="36" t="s">
        <v>18</v>
      </c>
      <c r="B7" t="s">
        <v>199</v>
      </c>
      <c r="K7" s="3" t="s">
        <v>21</v>
      </c>
      <c r="L7" s="3" t="s">
        <v>22</v>
      </c>
    </row>
    <row r="8" spans="1:12" x14ac:dyDescent="0.25">
      <c r="A8" s="36" t="s">
        <v>20</v>
      </c>
      <c r="B8" t="s">
        <v>200</v>
      </c>
      <c r="K8" s="3" t="s">
        <v>23</v>
      </c>
      <c r="L8" s="3" t="s">
        <v>24</v>
      </c>
    </row>
    <row r="9" spans="1:12" x14ac:dyDescent="0.25">
      <c r="A9" s="36" t="s">
        <v>22</v>
      </c>
      <c r="B9" t="s">
        <v>201</v>
      </c>
      <c r="K9" s="3" t="s">
        <v>25</v>
      </c>
      <c r="L9" s="3" t="s">
        <v>26</v>
      </c>
    </row>
    <row r="10" spans="1:12" x14ac:dyDescent="0.25">
      <c r="A10" s="36" t="s">
        <v>24</v>
      </c>
      <c r="B10" t="s">
        <v>202</v>
      </c>
      <c r="K10" s="3" t="s">
        <v>27</v>
      </c>
      <c r="L10" s="3" t="s">
        <v>28</v>
      </c>
    </row>
    <row r="11" spans="1:12" x14ac:dyDescent="0.25">
      <c r="A11" s="36" t="s">
        <v>30</v>
      </c>
      <c r="B11" t="s">
        <v>203</v>
      </c>
      <c r="K11" s="3" t="s">
        <v>29</v>
      </c>
      <c r="L11" s="3" t="s">
        <v>30</v>
      </c>
    </row>
    <row r="12" spans="1:12" x14ac:dyDescent="0.25">
      <c r="A12" s="36" t="s">
        <v>38</v>
      </c>
      <c r="B12" t="s">
        <v>204</v>
      </c>
      <c r="K12" s="3" t="s">
        <v>31</v>
      </c>
      <c r="L12" s="3" t="s">
        <v>32</v>
      </c>
    </row>
    <row r="13" spans="1:12" x14ac:dyDescent="0.25">
      <c r="A13" s="36" t="s">
        <v>34</v>
      </c>
      <c r="B13" t="s">
        <v>205</v>
      </c>
      <c r="K13" s="3" t="s">
        <v>33</v>
      </c>
      <c r="L13" s="3" t="s">
        <v>34</v>
      </c>
    </row>
    <row r="14" spans="1:12" x14ac:dyDescent="0.25">
      <c r="A14" s="36" t="s">
        <v>40</v>
      </c>
      <c r="B14" t="s">
        <v>206</v>
      </c>
      <c r="K14" s="3" t="s">
        <v>35</v>
      </c>
      <c r="L14" s="3" t="s">
        <v>36</v>
      </c>
    </row>
    <row r="15" spans="1:12" x14ac:dyDescent="0.25">
      <c r="A15" s="36" t="s">
        <v>50</v>
      </c>
      <c r="B15" t="s">
        <v>207</v>
      </c>
      <c r="K15" s="3" t="s">
        <v>37</v>
      </c>
      <c r="L15" s="3" t="s">
        <v>38</v>
      </c>
    </row>
    <row r="16" spans="1:12" x14ac:dyDescent="0.25">
      <c r="A16" s="36" t="s">
        <v>48</v>
      </c>
      <c r="B16" t="s">
        <v>208</v>
      </c>
      <c r="K16" s="3" t="s">
        <v>39</v>
      </c>
      <c r="L16" s="3" t="s">
        <v>40</v>
      </c>
    </row>
    <row r="17" spans="1:12" x14ac:dyDescent="0.25">
      <c r="A17" s="36" t="s">
        <v>46</v>
      </c>
      <c r="B17" t="s">
        <v>209</v>
      </c>
      <c r="K17" s="3" t="s">
        <v>41</v>
      </c>
      <c r="L17" s="3" t="s">
        <v>42</v>
      </c>
    </row>
    <row r="18" spans="1:12" x14ac:dyDescent="0.25">
      <c r="A18" s="36" t="s">
        <v>52</v>
      </c>
      <c r="B18" t="s">
        <v>210</v>
      </c>
      <c r="K18" s="3" t="s">
        <v>43</v>
      </c>
      <c r="L18" s="3" t="s">
        <v>44</v>
      </c>
    </row>
    <row r="19" spans="1:12" x14ac:dyDescent="0.25">
      <c r="A19" s="36" t="s">
        <v>54</v>
      </c>
      <c r="B19" t="s">
        <v>211</v>
      </c>
      <c r="K19" s="3" t="s">
        <v>45</v>
      </c>
      <c r="L19" s="3" t="s">
        <v>46</v>
      </c>
    </row>
    <row r="20" spans="1:12" x14ac:dyDescent="0.25">
      <c r="A20" s="36" t="s">
        <v>58</v>
      </c>
      <c r="B20" t="s">
        <v>212</v>
      </c>
      <c r="K20" s="3" t="s">
        <v>47</v>
      </c>
      <c r="L20" s="3" t="s">
        <v>48</v>
      </c>
    </row>
    <row r="21" spans="1:12" x14ac:dyDescent="0.25">
      <c r="A21" s="36" t="s">
        <v>60</v>
      </c>
      <c r="B21" t="s">
        <v>213</v>
      </c>
      <c r="K21" s="3" t="s">
        <v>49</v>
      </c>
      <c r="L21" s="3" t="s">
        <v>50</v>
      </c>
    </row>
    <row r="22" spans="1:12" x14ac:dyDescent="0.25">
      <c r="A22" s="36" t="s">
        <v>74</v>
      </c>
      <c r="B22" t="s">
        <v>214</v>
      </c>
      <c r="K22" s="3" t="s">
        <v>51</v>
      </c>
      <c r="L22" s="3" t="s">
        <v>52</v>
      </c>
    </row>
    <row r="23" spans="1:12" x14ac:dyDescent="0.25">
      <c r="A23" s="36" t="s">
        <v>62</v>
      </c>
      <c r="B23" t="s">
        <v>215</v>
      </c>
      <c r="K23" s="3" t="s">
        <v>53</v>
      </c>
      <c r="L23" s="3" t="s">
        <v>54</v>
      </c>
    </row>
    <row r="24" spans="1:12" x14ac:dyDescent="0.25">
      <c r="A24" s="36" t="s">
        <v>66</v>
      </c>
      <c r="B24" t="s">
        <v>216</v>
      </c>
      <c r="K24" s="3" t="s">
        <v>55</v>
      </c>
      <c r="L24" s="3" t="s">
        <v>56</v>
      </c>
    </row>
    <row r="25" spans="1:12" x14ac:dyDescent="0.25">
      <c r="A25" s="36" t="s">
        <v>68</v>
      </c>
      <c r="B25" t="s">
        <v>217</v>
      </c>
      <c r="K25" s="3" t="s">
        <v>57</v>
      </c>
      <c r="L25" s="3" t="s">
        <v>58</v>
      </c>
    </row>
    <row r="26" spans="1:12" x14ac:dyDescent="0.25">
      <c r="A26" s="36" t="s">
        <v>70</v>
      </c>
      <c r="B26" t="s">
        <v>218</v>
      </c>
      <c r="K26" s="3" t="s">
        <v>59</v>
      </c>
      <c r="L26" s="3" t="s">
        <v>60</v>
      </c>
    </row>
    <row r="27" spans="1:12" x14ac:dyDescent="0.25">
      <c r="A27" s="36" t="s">
        <v>64</v>
      </c>
      <c r="B27" t="s">
        <v>219</v>
      </c>
      <c r="K27" s="3" t="s">
        <v>61</v>
      </c>
      <c r="L27" s="3" t="s">
        <v>62</v>
      </c>
    </row>
    <row r="28" spans="1:12" x14ac:dyDescent="0.25">
      <c r="A28" s="36" t="s">
        <v>72</v>
      </c>
      <c r="B28" t="s">
        <v>220</v>
      </c>
      <c r="K28" s="3" t="s">
        <v>63</v>
      </c>
      <c r="L28" s="3" t="s">
        <v>64</v>
      </c>
    </row>
    <row r="29" spans="1:12" x14ac:dyDescent="0.25">
      <c r="A29" s="36" t="s">
        <v>78</v>
      </c>
      <c r="B29" t="s">
        <v>221</v>
      </c>
      <c r="K29" s="3" t="s">
        <v>65</v>
      </c>
      <c r="L29" s="3" t="s">
        <v>66</v>
      </c>
    </row>
    <row r="30" spans="1:12" x14ac:dyDescent="0.25">
      <c r="A30" s="36" t="s">
        <v>82</v>
      </c>
      <c r="B30" t="s">
        <v>222</v>
      </c>
      <c r="K30" s="3" t="s">
        <v>67</v>
      </c>
      <c r="L30" s="3" t="s">
        <v>68</v>
      </c>
    </row>
    <row r="31" spans="1:12" x14ac:dyDescent="0.25">
      <c r="A31" s="36" t="s">
        <v>84</v>
      </c>
      <c r="B31" t="s">
        <v>223</v>
      </c>
      <c r="K31" s="3" t="s">
        <v>69</v>
      </c>
      <c r="L31" s="3" t="s">
        <v>70</v>
      </c>
    </row>
    <row r="32" spans="1:12" x14ac:dyDescent="0.25">
      <c r="A32" s="36" t="s">
        <v>86</v>
      </c>
      <c r="B32" t="s">
        <v>224</v>
      </c>
      <c r="K32" s="3" t="s">
        <v>71</v>
      </c>
      <c r="L32" s="3" t="s">
        <v>72</v>
      </c>
    </row>
    <row r="33" spans="1:12" x14ac:dyDescent="0.25">
      <c r="A33" s="36" t="s">
        <v>94</v>
      </c>
      <c r="B33" t="s">
        <v>225</v>
      </c>
      <c r="K33" s="3" t="s">
        <v>73</v>
      </c>
      <c r="L33" s="3" t="s">
        <v>74</v>
      </c>
    </row>
    <row r="34" spans="1:12" x14ac:dyDescent="0.25">
      <c r="A34" s="36" t="s">
        <v>100</v>
      </c>
      <c r="B34" t="s">
        <v>226</v>
      </c>
      <c r="K34" s="3" t="s">
        <v>75</v>
      </c>
      <c r="L34" s="3" t="s">
        <v>76</v>
      </c>
    </row>
    <row r="35" spans="1:12" x14ac:dyDescent="0.25">
      <c r="A35" s="36" t="s">
        <v>98</v>
      </c>
      <c r="B35" t="s">
        <v>227</v>
      </c>
      <c r="K35" s="3" t="s">
        <v>77</v>
      </c>
      <c r="L35" s="3" t="s">
        <v>78</v>
      </c>
    </row>
    <row r="36" spans="1:12" x14ac:dyDescent="0.25">
      <c r="A36" s="36" t="s">
        <v>102</v>
      </c>
      <c r="B36" t="s">
        <v>228</v>
      </c>
      <c r="K36" s="3" t="s">
        <v>79</v>
      </c>
      <c r="L36" s="3" t="s">
        <v>80</v>
      </c>
    </row>
    <row r="37" spans="1:12" x14ac:dyDescent="0.25">
      <c r="A37" s="36" t="s">
        <v>106</v>
      </c>
      <c r="B37" t="s">
        <v>229</v>
      </c>
      <c r="K37" s="3" t="s">
        <v>81</v>
      </c>
      <c r="L37" s="3" t="s">
        <v>82</v>
      </c>
    </row>
    <row r="38" spans="1:12" x14ac:dyDescent="0.25">
      <c r="K38" s="3" t="s">
        <v>83</v>
      </c>
      <c r="L38" s="3" t="s">
        <v>84</v>
      </c>
    </row>
    <row r="39" spans="1:12" x14ac:dyDescent="0.25">
      <c r="A39" t="s">
        <v>0</v>
      </c>
      <c r="B39" t="s">
        <v>1</v>
      </c>
      <c r="K39" s="3" t="s">
        <v>85</v>
      </c>
      <c r="L39" s="3" t="s">
        <v>86</v>
      </c>
    </row>
    <row r="40" spans="1:12" x14ac:dyDescent="0.25">
      <c r="B40" t="s">
        <v>5</v>
      </c>
      <c r="K40" s="3" t="s">
        <v>87</v>
      </c>
      <c r="L40" s="3" t="s">
        <v>88</v>
      </c>
    </row>
    <row r="41" spans="1:12" x14ac:dyDescent="0.25">
      <c r="B41" t="s">
        <v>6</v>
      </c>
      <c r="K41" s="3" t="s">
        <v>89</v>
      </c>
      <c r="L41" s="3" t="s">
        <v>90</v>
      </c>
    </row>
    <row r="42" spans="1:12" x14ac:dyDescent="0.25">
      <c r="B42" t="s">
        <v>7</v>
      </c>
      <c r="K42" s="3" t="s">
        <v>91</v>
      </c>
      <c r="L42" s="3" t="s">
        <v>92</v>
      </c>
    </row>
    <row r="43" spans="1:12" x14ac:dyDescent="0.25">
      <c r="K43" s="3" t="s">
        <v>93</v>
      </c>
      <c r="L43" s="3" t="s">
        <v>94</v>
      </c>
    </row>
    <row r="44" spans="1:12" x14ac:dyDescent="0.25">
      <c r="A44">
        <v>0.75350342301658668</v>
      </c>
      <c r="B44" t="s">
        <v>8</v>
      </c>
      <c r="K44" s="3" t="s">
        <v>95</v>
      </c>
      <c r="L44" s="3" t="s">
        <v>96</v>
      </c>
    </row>
    <row r="45" spans="1:12" x14ac:dyDescent="0.25">
      <c r="K45" s="3" t="s">
        <v>97</v>
      </c>
      <c r="L45" s="3" t="s">
        <v>98</v>
      </c>
    </row>
    <row r="46" spans="1:12" x14ac:dyDescent="0.25">
      <c r="B46" t="s">
        <v>262</v>
      </c>
      <c r="K46" s="3" t="s">
        <v>99</v>
      </c>
      <c r="L46" s="3" t="s">
        <v>100</v>
      </c>
    </row>
    <row r="47" spans="1:12" x14ac:dyDescent="0.25">
      <c r="K47" s="3" t="s">
        <v>101</v>
      </c>
      <c r="L47" s="3" t="s">
        <v>102</v>
      </c>
    </row>
    <row r="48" spans="1:12" x14ac:dyDescent="0.25">
      <c r="K48" s="3" t="s">
        <v>103</v>
      </c>
      <c r="L48" s="3" t="s">
        <v>104</v>
      </c>
    </row>
    <row r="49" spans="1:12" x14ac:dyDescent="0.25">
      <c r="K49" s="3" t="s">
        <v>105</v>
      </c>
      <c r="L49" s="3" t="s">
        <v>106</v>
      </c>
    </row>
    <row r="50" spans="1:12" x14ac:dyDescent="0.25">
      <c r="K50" s="3" t="s">
        <v>107</v>
      </c>
      <c r="L50" s="3" t="s">
        <v>108</v>
      </c>
    </row>
    <row r="54" spans="1:12" x14ac:dyDescent="0.25">
      <c r="B54" t="s">
        <v>232</v>
      </c>
    </row>
    <row r="55" spans="1:12" x14ac:dyDescent="0.25">
      <c r="A55" t="s">
        <v>233</v>
      </c>
      <c r="B55">
        <v>0.9143273584567535</v>
      </c>
    </row>
    <row r="56" spans="1:12" x14ac:dyDescent="0.25">
      <c r="A56" t="s">
        <v>234</v>
      </c>
      <c r="B56">
        <v>0.89805481563188172</v>
      </c>
    </row>
    <row r="57" spans="1:12" x14ac:dyDescent="0.25">
      <c r="A57" t="s">
        <v>235</v>
      </c>
      <c r="B57">
        <v>0.88711067149387013</v>
      </c>
    </row>
    <row r="58" spans="1:12" x14ac:dyDescent="0.25">
      <c r="A58" t="s">
        <v>236</v>
      </c>
      <c r="B58">
        <v>0.84730412960844359</v>
      </c>
    </row>
    <row r="59" spans="1:12" x14ac:dyDescent="0.25">
      <c r="A59" t="s">
        <v>237</v>
      </c>
      <c r="B59">
        <v>0.78452102304761584</v>
      </c>
    </row>
    <row r="60" spans="1:12" x14ac:dyDescent="0.25">
      <c r="A60" t="s">
        <v>238</v>
      </c>
      <c r="B60" s="40">
        <v>0.75350342301658668</v>
      </c>
    </row>
    <row r="61" spans="1:12" x14ac:dyDescent="0.25">
      <c r="A61">
        <v>2024</v>
      </c>
      <c r="B61">
        <v>0.73191600598044548</v>
      </c>
    </row>
    <row r="85" spans="2:2" x14ac:dyDescent="0.25">
      <c r="B85" s="36"/>
    </row>
    <row r="86" spans="2:2" x14ac:dyDescent="0.25">
      <c r="B86" s="36"/>
    </row>
    <row r="87" spans="2:2" x14ac:dyDescent="0.25">
      <c r="B87" s="36"/>
    </row>
    <row r="88" spans="2:2" x14ac:dyDescent="0.25">
      <c r="B88" s="36"/>
    </row>
    <row r="89" spans="2:2" x14ac:dyDescent="0.25">
      <c r="B89" s="36"/>
    </row>
    <row r="90" spans="2:2" x14ac:dyDescent="0.25">
      <c r="B90" s="36"/>
    </row>
    <row r="91" spans="2:2" x14ac:dyDescent="0.25">
      <c r="B91" s="36"/>
    </row>
    <row r="92" spans="2:2" x14ac:dyDescent="0.25">
      <c r="B92" s="36"/>
    </row>
    <row r="93" spans="2:2" x14ac:dyDescent="0.25">
      <c r="B93" s="36"/>
    </row>
    <row r="94" spans="2:2" x14ac:dyDescent="0.25">
      <c r="B94" s="36"/>
    </row>
    <row r="95" spans="2:2" x14ac:dyDescent="0.25">
      <c r="B95" s="36"/>
    </row>
    <row r="96" spans="2:2" x14ac:dyDescent="0.25">
      <c r="B96" s="36"/>
    </row>
    <row r="97" spans="2:2" x14ac:dyDescent="0.25">
      <c r="B97" s="36"/>
    </row>
    <row r="98" spans="2:2" x14ac:dyDescent="0.25">
      <c r="B98" s="36"/>
    </row>
    <row r="99" spans="2:2" x14ac:dyDescent="0.25">
      <c r="B99" s="36"/>
    </row>
    <row r="100" spans="2:2" x14ac:dyDescent="0.25">
      <c r="B100" s="36"/>
    </row>
    <row r="101" spans="2:2" x14ac:dyDescent="0.25">
      <c r="B101" s="36"/>
    </row>
    <row r="102" spans="2:2" x14ac:dyDescent="0.2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B7DB-FB73-42FE-8AAB-C68D75D2BC48}">
  <dimension ref="A1:BH166"/>
  <sheetViews>
    <sheetView topLeftCell="A46" zoomScale="76" workbookViewId="0">
      <selection activeCell="C70" sqref="C70"/>
    </sheetView>
  </sheetViews>
  <sheetFormatPr defaultColWidth="9.140625" defaultRowHeight="12.75" x14ac:dyDescent="0.2"/>
  <cols>
    <col min="1" max="1" width="9.140625" style="11"/>
    <col min="2" max="2" width="18.5703125" style="11" customWidth="1"/>
    <col min="3" max="3" width="35.140625" style="11" customWidth="1"/>
    <col min="4" max="4" width="9.140625" style="11"/>
    <col min="5" max="5" width="22.5703125" style="11" customWidth="1"/>
    <col min="6" max="6" width="36.85546875" style="11" customWidth="1"/>
    <col min="7" max="25" width="9.5703125" style="11" hidden="1" customWidth="1"/>
    <col min="26" max="26" width="9.140625" style="11" hidden="1" customWidth="1"/>
    <col min="27" max="57" width="9.140625" style="11"/>
    <col min="58" max="59" width="9.140625" style="13"/>
    <col min="60" max="60" width="9.140625" style="14"/>
    <col min="61" max="16384" width="9.140625" style="11"/>
  </cols>
  <sheetData>
    <row r="1" spans="1:60" s="10" customFormat="1" ht="18" x14ac:dyDescent="0.25">
      <c r="A1" s="5"/>
      <c r="B1" s="5"/>
      <c r="C1" s="5"/>
      <c r="D1" s="6" t="s">
        <v>109</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x14ac:dyDescent="0.25">
      <c r="D12" s="12"/>
    </row>
    <row r="13" spans="1:60" ht="15" x14ac:dyDescent="0.25">
      <c r="D13" s="12" t="s">
        <v>110</v>
      </c>
    </row>
    <row r="14" spans="1:60" ht="15" x14ac:dyDescent="0.25">
      <c r="D14" s="15" t="s">
        <v>111</v>
      </c>
    </row>
    <row r="15" spans="1:60" ht="14.25" x14ac:dyDescent="0.2">
      <c r="D15" s="16" t="s">
        <v>263</v>
      </c>
    </row>
    <row r="16" spans="1:60" x14ac:dyDescent="0.2">
      <c r="D16" s="11" t="s">
        <v>264</v>
      </c>
    </row>
    <row r="24" spans="2:60" ht="15.75" x14ac:dyDescent="0.25">
      <c r="D24" s="17" t="s">
        <v>112</v>
      </c>
    </row>
    <row r="25" spans="2:60" x14ac:dyDescent="0.2">
      <c r="B25" s="18" t="s">
        <v>113</v>
      </c>
      <c r="C25" s="18"/>
      <c r="D25" s="45" t="s">
        <v>114</v>
      </c>
      <c r="E25" s="19" t="s">
        <v>115</v>
      </c>
      <c r="F25" s="20" t="s">
        <v>116</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2">
      <c r="B26" s="22" t="b">
        <v>1</v>
      </c>
      <c r="C26" s="22" t="str">
        <f>D26&amp;"_"&amp;F26</f>
        <v>AZ_Total RPS</v>
      </c>
      <c r="D26" s="23" t="s">
        <v>14</v>
      </c>
      <c r="E26" s="46" t="s">
        <v>117</v>
      </c>
      <c r="F26" s="25" t="s">
        <v>118</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2">
      <c r="B27" s="22" t="b">
        <v>1</v>
      </c>
      <c r="C27" s="22" t="str">
        <f t="shared" ref="C27:C91" si="0">D27&amp;"_"&amp;F27</f>
        <v>AZ_   DG Carve-Out</v>
      </c>
      <c r="D27" s="27" t="s">
        <v>14</v>
      </c>
      <c r="E27" s="47"/>
      <c r="F27" s="25" t="s">
        <v>119</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2">
      <c r="B28" s="22" t="b">
        <v>1</v>
      </c>
      <c r="C28" s="22" t="str">
        <f t="shared" si="0"/>
        <v>CA_Total RPS</v>
      </c>
      <c r="D28" s="23" t="s">
        <v>18</v>
      </c>
      <c r="E28" s="46" t="s">
        <v>120</v>
      </c>
      <c r="F28" s="25" t="s">
        <v>118</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2">
      <c r="B29" s="22" t="b">
        <v>1</v>
      </c>
      <c r="C29" s="22" t="str">
        <f t="shared" si="0"/>
        <v>CA_Total CES</v>
      </c>
      <c r="D29" s="29" t="s">
        <v>18</v>
      </c>
      <c r="E29" s="47"/>
      <c r="F29" s="25" t="s">
        <v>121</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2">
      <c r="B30" s="22" t="b">
        <v>1</v>
      </c>
      <c r="C30" s="22" t="str">
        <f t="shared" si="0"/>
        <v>CO_Total RPS</v>
      </c>
      <c r="D30" s="23" t="s">
        <v>20</v>
      </c>
      <c r="E30" s="46" t="s">
        <v>265</v>
      </c>
      <c r="F30" s="25" t="s">
        <v>118</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2">
      <c r="B31" s="22" t="b">
        <v>1</v>
      </c>
      <c r="C31" s="22" t="str">
        <f t="shared" si="0"/>
        <v>CO_   IOUs</v>
      </c>
      <c r="D31" s="29" t="s">
        <v>20</v>
      </c>
      <c r="E31" s="48"/>
      <c r="F31" s="25" t="s">
        <v>122</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2">
      <c r="B32" s="22" t="b">
        <v>1</v>
      </c>
      <c r="C32" s="22" t="str">
        <f t="shared" si="0"/>
        <v>CO_   Coops (G&amp;T-served or &gt;100k customers)</v>
      </c>
      <c r="D32" s="29" t="s">
        <v>20</v>
      </c>
      <c r="E32" s="48"/>
      <c r="F32" s="25" t="s">
        <v>123</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2">
      <c r="B33" s="22" t="b">
        <v>1</v>
      </c>
      <c r="C33" s="22" t="str">
        <f t="shared" si="0"/>
        <v>CO_   Munis &amp; Non-G&amp;T served Coops with &lt;100k customers)</v>
      </c>
      <c r="D33" s="29" t="s">
        <v>20</v>
      </c>
      <c r="E33" s="48"/>
      <c r="F33" s="25" t="s">
        <v>124</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2">
      <c r="B34" s="22" t="b">
        <v>1</v>
      </c>
      <c r="C34" s="22" t="str">
        <f t="shared" si="0"/>
        <v>CO_DG Carve-Out (Wtd. Avg.)</v>
      </c>
      <c r="D34" s="29" t="s">
        <v>20</v>
      </c>
      <c r="E34" s="48"/>
      <c r="F34" s="25" t="s">
        <v>125</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2">
      <c r="B35" s="22" t="b">
        <v>1</v>
      </c>
      <c r="C35" s="22" t="str">
        <f t="shared" si="0"/>
        <v>CO_   IOUs</v>
      </c>
      <c r="D35" s="29" t="s">
        <v>20</v>
      </c>
      <c r="E35" s="48"/>
      <c r="F35" s="25" t="s">
        <v>122</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2">
      <c r="B36" s="22" t="b">
        <v>1</v>
      </c>
      <c r="C36" s="22" t="str">
        <f t="shared" si="0"/>
        <v>CO_   Coops (&gt;10k customers)</v>
      </c>
      <c r="D36" s="29" t="s">
        <v>20</v>
      </c>
      <c r="E36" s="48"/>
      <c r="F36" s="25" t="s">
        <v>126</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2">
      <c r="B37" s="22" t="b">
        <v>1</v>
      </c>
      <c r="C37" s="22" t="str">
        <f t="shared" si="0"/>
        <v>CO_   Coops (&lt;10k customers)</v>
      </c>
      <c r="D37" s="29" t="s">
        <v>20</v>
      </c>
      <c r="E37" s="48"/>
      <c r="F37" s="25" t="s">
        <v>127</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2">
      <c r="B38" s="22" t="b">
        <v>1</v>
      </c>
      <c r="C38" s="22" t="str">
        <f t="shared" si="0"/>
        <v>CO_Total CES</v>
      </c>
      <c r="D38" s="27" t="s">
        <v>20</v>
      </c>
      <c r="E38" s="47"/>
      <c r="F38" s="25" t="s">
        <v>121</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2">
      <c r="B39" s="22" t="b">
        <v>1</v>
      </c>
      <c r="C39" s="22" t="str">
        <f t="shared" si="0"/>
        <v>CT_Total RPS</v>
      </c>
      <c r="D39" s="29" t="s">
        <v>22</v>
      </c>
      <c r="E39" s="24" t="s">
        <v>128</v>
      </c>
      <c r="F39" s="25" t="s">
        <v>118</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2">
      <c r="B40" s="22" t="b">
        <v>1</v>
      </c>
      <c r="C40" s="22" t="str">
        <f t="shared" si="0"/>
        <v>CT_   Class I</v>
      </c>
      <c r="D40" s="29" t="s">
        <v>22</v>
      </c>
      <c r="E40" s="30"/>
      <c r="F40" s="25" t="s">
        <v>129</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2">
      <c r="B41" s="22" t="b">
        <v>1</v>
      </c>
      <c r="C41" s="22" t="str">
        <f t="shared" si="0"/>
        <v>CT_   Class II</v>
      </c>
      <c r="D41" s="29" t="s">
        <v>22</v>
      </c>
      <c r="E41" s="30"/>
      <c r="F41" s="25" t="s">
        <v>130</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2">
      <c r="B42" s="22" t="b">
        <v>1</v>
      </c>
      <c r="C42" s="22" t="str">
        <f t="shared" si="0"/>
        <v>CT_Total CES</v>
      </c>
      <c r="D42" s="29" t="s">
        <v>22</v>
      </c>
      <c r="E42" s="28"/>
      <c r="F42" s="25" t="s">
        <v>121</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2">
      <c r="B43" s="22" t="b">
        <v>1</v>
      </c>
      <c r="C43" s="22" t="str">
        <f t="shared" si="0"/>
        <v>DC_Total RPS</v>
      </c>
      <c r="D43" s="23" t="s">
        <v>131</v>
      </c>
      <c r="E43" s="24" t="s">
        <v>128</v>
      </c>
      <c r="F43" s="25" t="s">
        <v>118</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2">
      <c r="B44" s="22" t="b">
        <v>1</v>
      </c>
      <c r="C44" s="22" t="str">
        <f t="shared" si="0"/>
        <v>DC_   Solar Carve-Out</v>
      </c>
      <c r="D44" s="29" t="s">
        <v>131</v>
      </c>
      <c r="E44" s="30"/>
      <c r="F44" s="32" t="s">
        <v>132</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2">
      <c r="B45" s="22" t="b">
        <v>1</v>
      </c>
      <c r="C45" s="22" t="str">
        <f t="shared" si="0"/>
        <v>DC_   Tier I Non-Solar</v>
      </c>
      <c r="D45" s="29" t="s">
        <v>131</v>
      </c>
      <c r="E45" s="30"/>
      <c r="F45" s="32" t="s">
        <v>133</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2">
      <c r="B46" s="22" t="b">
        <v>1</v>
      </c>
      <c r="C46" s="22" t="str">
        <f t="shared" si="0"/>
        <v>DC_   Tier II</v>
      </c>
      <c r="D46" s="27" t="s">
        <v>131</v>
      </c>
      <c r="E46" s="28"/>
      <c r="F46" s="32" t="s">
        <v>134</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2">
      <c r="B47" s="22" t="b">
        <v>1</v>
      </c>
      <c r="C47" s="22" t="str">
        <f t="shared" si="0"/>
        <v>DE_Total RPS</v>
      </c>
      <c r="D47" s="23" t="s">
        <v>24</v>
      </c>
      <c r="E47" s="24" t="s">
        <v>128</v>
      </c>
      <c r="F47" s="25" t="s">
        <v>118</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2">
      <c r="B48" s="22" t="b">
        <v>1</v>
      </c>
      <c r="C48" s="22" t="str">
        <f t="shared" si="0"/>
        <v>DE_   Solar Carve-Out</v>
      </c>
      <c r="D48" s="29" t="s">
        <v>24</v>
      </c>
      <c r="E48" s="30"/>
      <c r="F48" s="32" t="s">
        <v>132</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2">
      <c r="B49" s="22" t="b">
        <v>1</v>
      </c>
      <c r="C49" s="22" t="str">
        <f t="shared" si="0"/>
        <v>DE_   New Non-Solar</v>
      </c>
      <c r="D49" s="29" t="s">
        <v>24</v>
      </c>
      <c r="E49" s="30"/>
      <c r="F49" s="32" t="s">
        <v>135</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2">
      <c r="B50" s="22" t="b">
        <v>1</v>
      </c>
      <c r="C50" s="22" t="str">
        <f t="shared" si="0"/>
        <v>DE_   Existing</v>
      </c>
      <c r="D50" s="29" t="s">
        <v>24</v>
      </c>
      <c r="E50" s="28"/>
      <c r="F50" s="32" t="s">
        <v>136</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2">
      <c r="B51" s="22" t="b">
        <v>1</v>
      </c>
      <c r="C51" s="22" t="str">
        <f t="shared" si="0"/>
        <v>HI_Total RPS</v>
      </c>
      <c r="D51" s="33" t="s">
        <v>30</v>
      </c>
      <c r="E51" s="32" t="s">
        <v>137</v>
      </c>
      <c r="F51" s="25" t="s">
        <v>118</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2">
      <c r="B52" s="22" t="b">
        <v>1</v>
      </c>
      <c r="C52" s="22" t="str">
        <f t="shared" si="0"/>
        <v>IA_Total RPS</v>
      </c>
      <c r="D52" s="33" t="s">
        <v>38</v>
      </c>
      <c r="E52" s="32" t="s">
        <v>138</v>
      </c>
      <c r="F52" s="25" t="s">
        <v>118</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2">
      <c r="B53" s="22" t="b">
        <v>1</v>
      </c>
      <c r="C53" s="22" t="str">
        <f t="shared" si="0"/>
        <v>IL_Total RPS</v>
      </c>
      <c r="D53" s="23" t="s">
        <v>34</v>
      </c>
      <c r="E53" s="24" t="s">
        <v>139</v>
      </c>
      <c r="F53" s="25" t="s">
        <v>118</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2">
      <c r="B54" s="22" t="b">
        <v>1</v>
      </c>
      <c r="C54" s="22" t="str">
        <f t="shared" si="0"/>
        <v>IL_   New Wind Requirement</v>
      </c>
      <c r="D54" s="29" t="s">
        <v>34</v>
      </c>
      <c r="E54" s="30"/>
      <c r="F54" s="32" t="s">
        <v>140</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2">
      <c r="B55" s="22" t="b">
        <v>1</v>
      </c>
      <c r="C55" s="22" t="str">
        <f t="shared" si="0"/>
        <v>IL_   New Solar Requirement (total)</v>
      </c>
      <c r="D55" s="29" t="s">
        <v>34</v>
      </c>
      <c r="E55" s="30"/>
      <c r="F55" s="32" t="s">
        <v>141</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2">
      <c r="B56" s="22" t="b">
        <v>1</v>
      </c>
      <c r="C56" s="22" t="str">
        <f t="shared" si="0"/>
        <v>IL_   New Solar Requirement (DG portion)</v>
      </c>
      <c r="D56" s="29" t="s">
        <v>34</v>
      </c>
      <c r="E56" s="30"/>
      <c r="F56" s="32" t="s">
        <v>142</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2">
      <c r="B57" s="22" t="b">
        <v>1</v>
      </c>
      <c r="C57" s="22" t="str">
        <f t="shared" si="0"/>
        <v>IL_Total CES</v>
      </c>
      <c r="D57" s="29" t="s">
        <v>34</v>
      </c>
      <c r="E57" s="28"/>
      <c r="F57" s="25" t="s">
        <v>121</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2">
      <c r="B58" s="22" t="b">
        <v>1</v>
      </c>
      <c r="C58" s="22" t="str">
        <f t="shared" si="0"/>
        <v>KS_Total RPS</v>
      </c>
      <c r="D58" s="34" t="s">
        <v>40</v>
      </c>
      <c r="E58" s="35" t="s">
        <v>143</v>
      </c>
      <c r="F58" s="25" t="s">
        <v>118</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2">
      <c r="B59" s="22" t="b">
        <v>1</v>
      </c>
      <c r="C59" s="22" t="str">
        <f t="shared" si="0"/>
        <v>MA_Total RPS</v>
      </c>
      <c r="D59" s="23" t="s">
        <v>50</v>
      </c>
      <c r="E59" s="24" t="s">
        <v>144</v>
      </c>
      <c r="F59" s="25" t="s">
        <v>118</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2">
      <c r="B60" s="22" t="b">
        <v>1</v>
      </c>
      <c r="C60" s="22" t="str">
        <f t="shared" si="0"/>
        <v>MA_   Class I (Solar Carve-Out)</v>
      </c>
      <c r="D60" s="29" t="s">
        <v>50</v>
      </c>
      <c r="E60" s="30"/>
      <c r="F60" s="32" t="s">
        <v>145</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2">
      <c r="B61" s="22" t="b">
        <v>1</v>
      </c>
      <c r="C61" s="22" t="str">
        <f t="shared" si="0"/>
        <v>MA_   Class I (Non-Solar)</v>
      </c>
      <c r="D61" s="29" t="s">
        <v>50</v>
      </c>
      <c r="E61" s="30"/>
      <c r="F61" s="32" t="s">
        <v>146</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2">
      <c r="B62" s="22" t="b">
        <v>1</v>
      </c>
      <c r="C62" s="22" t="str">
        <f t="shared" si="0"/>
        <v>MA_   Class II Existing RE</v>
      </c>
      <c r="D62" s="29" t="s">
        <v>50</v>
      </c>
      <c r="E62" s="30"/>
      <c r="F62" s="32" t="s">
        <v>147</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2">
      <c r="B63" s="22" t="b">
        <v>1</v>
      </c>
      <c r="C63" s="22" t="str">
        <f t="shared" si="0"/>
        <v>MA_   Class II MSW</v>
      </c>
      <c r="D63" s="29" t="s">
        <v>50</v>
      </c>
      <c r="E63" s="30"/>
      <c r="F63" s="32" t="s">
        <v>148</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2">
      <c r="B64" s="22" t="b">
        <v>1</v>
      </c>
      <c r="C64" s="22" t="str">
        <f t="shared" si="0"/>
        <v>MA_Total CES</v>
      </c>
      <c r="D64" s="29" t="s">
        <v>50</v>
      </c>
      <c r="E64" s="30"/>
      <c r="F64" s="32" t="s">
        <v>121</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2">
      <c r="B65" s="22" t="b">
        <v>1</v>
      </c>
      <c r="C65" s="22" t="str">
        <f t="shared" si="0"/>
        <v>MA_   New (CES)</v>
      </c>
      <c r="D65" s="29" t="s">
        <v>50</v>
      </c>
      <c r="E65" s="30"/>
      <c r="F65" s="32" t="s">
        <v>149</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2">
      <c r="B66" s="22" t="b">
        <v>1</v>
      </c>
      <c r="C66" s="22" t="str">
        <f t="shared" si="0"/>
        <v>MA_   Existing (CES-E)</v>
      </c>
      <c r="D66" s="29" t="s">
        <v>50</v>
      </c>
      <c r="E66" s="28"/>
      <c r="F66" s="32" t="s">
        <v>150</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2">
      <c r="B67" s="22" t="b">
        <v>1</v>
      </c>
      <c r="C67" s="22" t="str">
        <f t="shared" si="0"/>
        <v>MD_Total RPS</v>
      </c>
      <c r="D67" s="23" t="s">
        <v>48</v>
      </c>
      <c r="E67" s="24" t="s">
        <v>266</v>
      </c>
      <c r="F67" s="25" t="s">
        <v>118</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2">
      <c r="B68" s="22" t="b">
        <v>1</v>
      </c>
      <c r="C68" s="22" t="str">
        <f t="shared" si="0"/>
        <v>MD_   IOUs &amp; competitive retailers</v>
      </c>
      <c r="D68" s="29" t="s">
        <v>48</v>
      </c>
      <c r="E68" s="30"/>
      <c r="F68" s="32" t="s">
        <v>267</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2">
      <c r="B69" s="22" t="b">
        <v>1</v>
      </c>
      <c r="C69" s="22" t="str">
        <f t="shared" si="0"/>
        <v>MD_   Cooperatives</v>
      </c>
      <c r="D69" s="29" t="s">
        <v>48</v>
      </c>
      <c r="E69" s="30"/>
      <c r="F69" s="32" t="s">
        <v>268</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2">
      <c r="B70" s="22" t="b">
        <v>1</v>
      </c>
      <c r="C70" s="22" t="str">
        <f t="shared" si="0"/>
        <v>MD_   Municipal utilities</v>
      </c>
      <c r="D70" s="29" t="s">
        <v>48</v>
      </c>
      <c r="E70" s="30"/>
      <c r="F70" s="32" t="s">
        <v>269</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2">
      <c r="B71" s="22" t="b">
        <v>1</v>
      </c>
      <c r="C71" s="22" t="str">
        <f t="shared" si="0"/>
        <v>MD_Solar Carve-Out (Wtd. Avg.)</v>
      </c>
      <c r="D71" s="29" t="s">
        <v>48</v>
      </c>
      <c r="E71" s="30"/>
      <c r="F71" s="32" t="s">
        <v>270</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2">
      <c r="B72" s="22" t="b">
        <v>1</v>
      </c>
      <c r="C72" s="22" t="str">
        <f t="shared" si="0"/>
        <v>MD_   IOUs &amp; competitive retailers</v>
      </c>
      <c r="D72" s="29" t="s">
        <v>48</v>
      </c>
      <c r="E72" s="30"/>
      <c r="F72" s="25" t="s">
        <v>267</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2">
      <c r="B73" s="22" t="b">
        <v>1</v>
      </c>
      <c r="C73" s="22" t="str">
        <f t="shared" si="0"/>
        <v>MD_   Cooperatives</v>
      </c>
      <c r="D73" s="29" t="s">
        <v>48</v>
      </c>
      <c r="E73" s="30"/>
      <c r="F73" s="32" t="s">
        <v>268</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2">
      <c r="B74" s="22" t="b">
        <v>1</v>
      </c>
      <c r="C74" s="22" t="str">
        <f t="shared" si="0"/>
        <v>MD_   Municipal utilities</v>
      </c>
      <c r="D74" s="29" t="s">
        <v>48</v>
      </c>
      <c r="E74" s="30"/>
      <c r="F74" s="32" t="s">
        <v>269</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2">
      <c r="B75" s="22" t="b">
        <v>1</v>
      </c>
      <c r="C75" s="22" t="str">
        <f t="shared" si="0"/>
        <v>MD_Offshore Wind Carve-Out (Wtd. Avg.)</v>
      </c>
      <c r="D75" s="29" t="s">
        <v>48</v>
      </c>
      <c r="E75" s="30"/>
      <c r="F75" s="32" t="s">
        <v>271</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2">
      <c r="B76" s="22" t="b">
        <v>1</v>
      </c>
      <c r="C76" s="22" t="str">
        <f t="shared" si="0"/>
        <v>MD_   IOUs &amp; competitive retailers</v>
      </c>
      <c r="D76" s="29" t="s">
        <v>48</v>
      </c>
      <c r="E76" s="30"/>
      <c r="F76" s="32" t="s">
        <v>267</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2">
      <c r="B77" s="22" t="b">
        <v>1</v>
      </c>
      <c r="C77" s="22" t="str">
        <f t="shared" si="0"/>
        <v>MD_   Cooperatives</v>
      </c>
      <c r="D77" s="29" t="s">
        <v>48</v>
      </c>
      <c r="E77" s="30"/>
      <c r="F77" s="25" t="s">
        <v>268</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2">
      <c r="B78" s="22" t="b">
        <v>1</v>
      </c>
      <c r="C78" s="22" t="str">
        <f t="shared" si="0"/>
        <v>MD_   Municipal utilities</v>
      </c>
      <c r="D78" s="34" t="s">
        <v>48</v>
      </c>
      <c r="E78" s="35"/>
      <c r="F78" s="32" t="s">
        <v>269</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2">
      <c r="B79" s="22" t="b">
        <v>1</v>
      </c>
      <c r="C79" s="22" t="str">
        <f t="shared" si="0"/>
        <v>MD_Geothermal Heat Pump Carve-Out</v>
      </c>
      <c r="D79" s="34" t="s">
        <v>48</v>
      </c>
      <c r="E79" s="35"/>
      <c r="F79" s="25" t="s">
        <v>272</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2">
      <c r="B80" s="22" t="b">
        <v>1</v>
      </c>
      <c r="C80" s="22" t="str">
        <f t="shared" si="0"/>
        <v>MD_Tier I Non-Carve-Out (Wtd. Avg.)</v>
      </c>
      <c r="D80" s="29" t="s">
        <v>48</v>
      </c>
      <c r="E80" s="30"/>
      <c r="F80" s="32" t="s">
        <v>273</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2">
      <c r="B81" s="22" t="b">
        <v>1</v>
      </c>
      <c r="C81" s="22" t="str">
        <f t="shared" si="0"/>
        <v>MD_   IOUs &amp; competitive retailers</v>
      </c>
      <c r="D81" s="29" t="s">
        <v>48</v>
      </c>
      <c r="E81" s="30"/>
      <c r="F81" s="25" t="s">
        <v>267</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2">
      <c r="B82" s="22" t="b">
        <v>1</v>
      </c>
      <c r="C82" s="22" t="str">
        <f t="shared" si="0"/>
        <v>MD_   Cooperatives</v>
      </c>
      <c r="D82" s="29" t="s">
        <v>48</v>
      </c>
      <c r="E82" s="30"/>
      <c r="F82" s="25" t="s">
        <v>268</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2">
      <c r="B83" s="22" t="b">
        <v>1</v>
      </c>
      <c r="C83" s="22" t="str">
        <f t="shared" si="0"/>
        <v>MD_   Municipal utilities</v>
      </c>
      <c r="D83" s="29" t="s">
        <v>48</v>
      </c>
      <c r="E83" s="30"/>
      <c r="F83" s="32" t="s">
        <v>269</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2">
      <c r="B84" s="22" t="b">
        <v>1</v>
      </c>
      <c r="C84" s="22" t="str">
        <f t="shared" si="0"/>
        <v>MD_Tier II</v>
      </c>
      <c r="D84" s="29" t="s">
        <v>48</v>
      </c>
      <c r="E84" s="30"/>
      <c r="F84" s="25" t="s">
        <v>274</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x14ac:dyDescent="0.2">
      <c r="B85" s="22" t="b">
        <v>1</v>
      </c>
      <c r="C85" s="22" t="str">
        <f t="shared" si="0"/>
        <v>ME_Total RPS</v>
      </c>
      <c r="D85" s="29" t="s">
        <v>46</v>
      </c>
      <c r="E85" s="30" t="s">
        <v>139</v>
      </c>
      <c r="F85" s="25" t="s">
        <v>118</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2">
      <c r="B86" s="22" t="b">
        <v>1</v>
      </c>
      <c r="C86" s="22" t="str">
        <f t="shared" si="0"/>
        <v>ME_   Class I/New</v>
      </c>
      <c r="D86" s="29" t="s">
        <v>46</v>
      </c>
      <c r="E86" s="30"/>
      <c r="F86" s="25" t="s">
        <v>151</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2">
      <c r="B87" s="22" t="b">
        <v>1</v>
      </c>
      <c r="C87" s="22" t="str">
        <f t="shared" si="0"/>
        <v>ME_   Class IA</v>
      </c>
      <c r="D87" s="29" t="s">
        <v>46</v>
      </c>
      <c r="E87" s="30"/>
      <c r="F87" s="25" t="s">
        <v>152</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2">
      <c r="B88" s="22" t="b">
        <v>1</v>
      </c>
      <c r="C88" s="22" t="str">
        <f t="shared" si="0"/>
        <v>ME_   Thermal</v>
      </c>
      <c r="D88" s="29" t="s">
        <v>46</v>
      </c>
      <c r="E88" s="30"/>
      <c r="F88" s="32" t="s">
        <v>153</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2">
      <c r="B89" s="22" t="b">
        <v>1</v>
      </c>
      <c r="C89" s="22" t="str">
        <f t="shared" si="0"/>
        <v>ME_   Existing</v>
      </c>
      <c r="D89" s="34" t="s">
        <v>46</v>
      </c>
      <c r="E89" s="35"/>
      <c r="F89" s="25" t="s">
        <v>136</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2">
      <c r="B90" s="22" t="b">
        <v>1</v>
      </c>
      <c r="C90" s="22" t="str">
        <f t="shared" si="0"/>
        <v>ME_Total CES</v>
      </c>
      <c r="D90" s="29" t="s">
        <v>46</v>
      </c>
      <c r="E90" s="30"/>
      <c r="F90" s="25" t="s">
        <v>121</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2">
      <c r="B91" s="22" t="b">
        <v>1</v>
      </c>
      <c r="C91" s="22" t="str">
        <f t="shared" si="0"/>
        <v>MI_Total RPS</v>
      </c>
      <c r="D91" s="29" t="s">
        <v>52</v>
      </c>
      <c r="E91" s="30" t="s">
        <v>128</v>
      </c>
      <c r="F91" s="25" t="s">
        <v>118</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2">
      <c r="B92" s="22" t="b">
        <v>1</v>
      </c>
      <c r="C92" s="22" t="str">
        <f t="shared" ref="C92:C155" si="1">D92&amp;"_"&amp;F92</f>
        <v>MI_Total CES</v>
      </c>
      <c r="D92" s="29" t="s">
        <v>52</v>
      </c>
      <c r="E92" s="30"/>
      <c r="F92" s="25" t="s">
        <v>121</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x14ac:dyDescent="0.2">
      <c r="B93" s="22" t="b">
        <v>1</v>
      </c>
      <c r="C93" s="22" t="str">
        <f t="shared" si="1"/>
        <v>MN_Total RPS</v>
      </c>
      <c r="D93" s="29" t="s">
        <v>54</v>
      </c>
      <c r="E93" s="30" t="s">
        <v>154</v>
      </c>
      <c r="F93" s="32" t="s">
        <v>118</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2">
      <c r="B94" s="22" t="b">
        <v>1</v>
      </c>
      <c r="C94" s="22" t="str">
        <f t="shared" si="1"/>
        <v>MN_   Xcel</v>
      </c>
      <c r="D94" s="29" t="s">
        <v>54</v>
      </c>
      <c r="E94" s="30"/>
      <c r="F94" s="32" t="s">
        <v>155</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2">
      <c r="B95" s="22" t="b">
        <v>1</v>
      </c>
      <c r="C95" s="22" t="str">
        <f t="shared" si="1"/>
        <v>MN_   Other utilities</v>
      </c>
      <c r="D95" s="29" t="s">
        <v>54</v>
      </c>
      <c r="E95" s="30"/>
      <c r="F95" s="32" t="s">
        <v>156</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2">
      <c r="B96" s="22" t="b">
        <v>1</v>
      </c>
      <c r="C96" s="22" t="str">
        <f t="shared" si="1"/>
        <v>MN_Solar Carve-Out (IOUs only)</v>
      </c>
      <c r="D96" s="29" t="s">
        <v>54</v>
      </c>
      <c r="E96" s="30"/>
      <c r="F96" s="25" t="s">
        <v>157</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2">
      <c r="B97" s="22" t="b">
        <v>1</v>
      </c>
      <c r="C97" s="22" t="str">
        <f t="shared" si="1"/>
        <v>MN_Total CES</v>
      </c>
      <c r="D97" s="29" t="s">
        <v>54</v>
      </c>
      <c r="E97" s="30"/>
      <c r="F97" s="25" t="s">
        <v>121</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2">
      <c r="B98" s="22" t="b">
        <v>1</v>
      </c>
      <c r="C98" s="22" t="str">
        <f t="shared" si="1"/>
        <v>MN_   IOUs</v>
      </c>
      <c r="D98" s="29" t="s">
        <v>54</v>
      </c>
      <c r="E98" s="30"/>
      <c r="F98" s="25" t="s">
        <v>122</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2">
      <c r="B99" s="22" t="b">
        <v>1</v>
      </c>
      <c r="C99" s="22" t="str">
        <f t="shared" si="1"/>
        <v>MN_   Other utilities</v>
      </c>
      <c r="D99" s="29" t="s">
        <v>54</v>
      </c>
      <c r="E99" s="28"/>
      <c r="F99" s="25" t="s">
        <v>156</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2">
      <c r="B100" s="22" t="b">
        <v>1</v>
      </c>
      <c r="C100" s="22" t="str">
        <f t="shared" si="1"/>
        <v>MO_Total RPS</v>
      </c>
      <c r="D100" s="23" t="s">
        <v>58</v>
      </c>
      <c r="E100" s="24" t="s">
        <v>158</v>
      </c>
      <c r="F100" s="25" t="s">
        <v>118</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2">
      <c r="B101" s="22" t="b">
        <v>1</v>
      </c>
      <c r="C101" s="22" t="str">
        <f t="shared" si="1"/>
        <v>MO_   Solar Carve-Out</v>
      </c>
      <c r="D101" s="29" t="s">
        <v>58</v>
      </c>
      <c r="E101" s="30"/>
      <c r="F101" s="32" t="s">
        <v>132</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x14ac:dyDescent="0.2">
      <c r="B102" s="22" t="b">
        <v>1</v>
      </c>
      <c r="C102" s="22" t="str">
        <f t="shared" si="1"/>
        <v>MT_Total RPS</v>
      </c>
      <c r="D102" s="29" t="s">
        <v>60</v>
      </c>
      <c r="E102" s="30" t="s">
        <v>159</v>
      </c>
      <c r="F102" s="32" t="s">
        <v>118</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x14ac:dyDescent="0.2">
      <c r="B103" s="22" t="b">
        <v>1</v>
      </c>
      <c r="C103" s="22" t="str">
        <f t="shared" si="1"/>
        <v>NC_Total RPS</v>
      </c>
      <c r="D103" s="29" t="s">
        <v>74</v>
      </c>
      <c r="E103" s="30" t="s">
        <v>160</v>
      </c>
      <c r="F103" s="32" t="s">
        <v>118</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2">
      <c r="B104" s="22" t="b">
        <v>1</v>
      </c>
      <c r="C104" s="22" t="str">
        <f t="shared" si="1"/>
        <v>NC_   IOUs</v>
      </c>
      <c r="D104" s="29" t="s">
        <v>74</v>
      </c>
      <c r="E104" s="30"/>
      <c r="F104" s="32" t="s">
        <v>122</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2">
      <c r="B105" s="22" t="b">
        <v>1</v>
      </c>
      <c r="C105" s="22" t="str">
        <f t="shared" si="1"/>
        <v>NC_   Munis and Coops</v>
      </c>
      <c r="D105" s="29" t="s">
        <v>74</v>
      </c>
      <c r="E105" s="30"/>
      <c r="F105" s="32" t="s">
        <v>161</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2">
      <c r="B106" s="22" t="b">
        <v>1</v>
      </c>
      <c r="C106" s="22" t="str">
        <f t="shared" si="1"/>
        <v>NC_Solar Carve-Out</v>
      </c>
      <c r="D106" s="29" t="s">
        <v>74</v>
      </c>
      <c r="E106" s="30"/>
      <c r="F106" s="25" t="s">
        <v>162</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2">
      <c r="B107" s="22" t="b">
        <v>1</v>
      </c>
      <c r="C107" s="22" t="str">
        <f t="shared" si="1"/>
        <v>NC_Swine Waste Carve-Out</v>
      </c>
      <c r="D107" s="29" t="s">
        <v>74</v>
      </c>
      <c r="E107" s="30"/>
      <c r="F107" s="32" t="s">
        <v>163</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2">
      <c r="B108" s="22" t="b">
        <v>1</v>
      </c>
      <c r="C108" s="22" t="str">
        <f t="shared" si="1"/>
        <v>NC_Poultry Waste Carve-Out</v>
      </c>
      <c r="D108" s="29" t="s">
        <v>74</v>
      </c>
      <c r="E108" s="30"/>
      <c r="F108" s="32" t="s">
        <v>164</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2">
      <c r="B109" s="22" t="b">
        <v>1</v>
      </c>
      <c r="C109" s="22" t="str">
        <f t="shared" si="1"/>
        <v>NC_Total CES (Duke only)</v>
      </c>
      <c r="D109" s="29" t="s">
        <v>74</v>
      </c>
      <c r="E109" s="28"/>
      <c r="F109" s="32" t="s">
        <v>165</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2">
      <c r="B110" s="22" t="b">
        <v>1</v>
      </c>
      <c r="C110" s="22" t="str">
        <f t="shared" si="1"/>
        <v>NE_Total CES</v>
      </c>
      <c r="D110" s="23" t="s">
        <v>62</v>
      </c>
      <c r="E110" s="24" t="s">
        <v>166</v>
      </c>
      <c r="F110" s="25" t="s">
        <v>121</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2">
      <c r="B111" s="22" t="b">
        <v>1</v>
      </c>
      <c r="C111" s="22" t="str">
        <f t="shared" si="1"/>
        <v>NE_   Lincoln Electric</v>
      </c>
      <c r="D111" s="29" t="s">
        <v>62</v>
      </c>
      <c r="E111" s="30"/>
      <c r="F111" s="25" t="s">
        <v>167</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2">
      <c r="B112" s="22" t="b">
        <v>1</v>
      </c>
      <c r="C112" s="22" t="str">
        <f t="shared" si="1"/>
        <v>NE_   Nebraska PPD and Omaha PPD</v>
      </c>
      <c r="D112" s="29" t="s">
        <v>62</v>
      </c>
      <c r="E112" s="30"/>
      <c r="F112" s="25" t="s">
        <v>168</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x14ac:dyDescent="0.2">
      <c r="B113" s="22" t="b">
        <v>1</v>
      </c>
      <c r="C113" s="22" t="str">
        <f t="shared" si="1"/>
        <v>NH_Total RPS</v>
      </c>
      <c r="D113" s="29" t="s">
        <v>66</v>
      </c>
      <c r="E113" s="30" t="s">
        <v>169</v>
      </c>
      <c r="F113" s="25" t="s">
        <v>118</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2">
      <c r="B114" s="22" t="b">
        <v>1</v>
      </c>
      <c r="C114" s="22" t="str">
        <f t="shared" si="1"/>
        <v>NH_   Class I (Non-Thermal)</v>
      </c>
      <c r="D114" s="29" t="s">
        <v>66</v>
      </c>
      <c r="E114" s="30"/>
      <c r="F114" s="25" t="s">
        <v>170</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2">
      <c r="B115" s="22" t="b">
        <v>1</v>
      </c>
      <c r="C115" s="22" t="str">
        <f t="shared" si="1"/>
        <v>NH _   Class I (Thermal)</v>
      </c>
      <c r="D115" s="29" t="s">
        <v>275</v>
      </c>
      <c r="E115" s="30"/>
      <c r="F115" s="25" t="s">
        <v>171</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2">
      <c r="B116" s="22" t="b">
        <v>1</v>
      </c>
      <c r="C116" s="22" t="str">
        <f t="shared" si="1"/>
        <v>NH_   Class II (Solar Carve-Out)</v>
      </c>
      <c r="D116" s="29" t="s">
        <v>66</v>
      </c>
      <c r="E116" s="30"/>
      <c r="F116" s="25" t="s">
        <v>172</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2">
      <c r="B117" s="22" t="b">
        <v>1</v>
      </c>
      <c r="C117" s="22" t="str">
        <f t="shared" si="1"/>
        <v>NH_   Class III (Existing Biomass/Methane)</v>
      </c>
      <c r="D117" s="29" t="s">
        <v>66</v>
      </c>
      <c r="E117" s="30"/>
      <c r="F117" s="25" t="s">
        <v>173</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2">
      <c r="B118" s="22" t="b">
        <v>1</v>
      </c>
      <c r="C118" s="22" t="str">
        <f t="shared" si="1"/>
        <v>NH_   Class IV (Existing Small Hydro)</v>
      </c>
      <c r="D118" s="29" t="s">
        <v>66</v>
      </c>
      <c r="E118" s="30"/>
      <c r="F118" s="25" t="s">
        <v>174</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x14ac:dyDescent="0.2">
      <c r="B119" s="22" t="b">
        <v>1</v>
      </c>
      <c r="C119" s="22" t="str">
        <f t="shared" si="1"/>
        <v>NJ_Total RPS</v>
      </c>
      <c r="D119" s="29" t="s">
        <v>68</v>
      </c>
      <c r="E119" s="30" t="s">
        <v>276</v>
      </c>
      <c r="F119" s="25" t="s">
        <v>118</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2">
      <c r="B120" s="22" t="b">
        <v>1</v>
      </c>
      <c r="C120" s="22" t="str">
        <f t="shared" si="1"/>
        <v>NJ_   Solar Carve-Out</v>
      </c>
      <c r="D120" s="29" t="s">
        <v>68</v>
      </c>
      <c r="E120" s="30"/>
      <c r="F120" s="25" t="s">
        <v>132</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2">
      <c r="B121" s="22" t="b">
        <v>1</v>
      </c>
      <c r="C121" s="22" t="str">
        <f t="shared" si="1"/>
        <v>NJ_   Class I Non-Solar</v>
      </c>
      <c r="D121" s="29" t="s">
        <v>68</v>
      </c>
      <c r="E121" s="30"/>
      <c r="F121" s="25" t="s">
        <v>175</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2">
      <c r="B122" s="22" t="b">
        <v>1</v>
      </c>
      <c r="C122" s="22" t="str">
        <f t="shared" si="1"/>
        <v>NJ_   Class II</v>
      </c>
      <c r="D122" s="29" t="s">
        <v>68</v>
      </c>
      <c r="E122" s="49"/>
      <c r="F122" s="25" t="s">
        <v>130</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x14ac:dyDescent="0.2">
      <c r="B123" s="22" t="b">
        <v>1</v>
      </c>
      <c r="C123" s="22" t="str">
        <f t="shared" si="1"/>
        <v>NM_Total RPS</v>
      </c>
      <c r="D123" s="29" t="s">
        <v>70</v>
      </c>
      <c r="E123" s="49" t="s">
        <v>176</v>
      </c>
      <c r="F123" s="25" t="s">
        <v>118</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2">
      <c r="B124" s="22" t="b">
        <v>1</v>
      </c>
      <c r="C124" s="22" t="str">
        <f t="shared" si="1"/>
        <v>NM_   IOUs</v>
      </c>
      <c r="D124" s="29" t="s">
        <v>70</v>
      </c>
      <c r="E124" s="30"/>
      <c r="F124" s="25" t="s">
        <v>122</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2">
      <c r="B125" s="22" t="b">
        <v>1</v>
      </c>
      <c r="C125" s="22" t="str">
        <f t="shared" si="1"/>
        <v>NM_   Coops</v>
      </c>
      <c r="D125" s="29" t="s">
        <v>70</v>
      </c>
      <c r="E125" s="30"/>
      <c r="F125" s="32" t="s">
        <v>177</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2">
      <c r="B126" s="22" t="b">
        <v>1</v>
      </c>
      <c r="C126" s="22" t="str">
        <f t="shared" si="1"/>
        <v>NM_IOU RPS: DG Diversity Requirement</v>
      </c>
      <c r="D126" s="29" t="s">
        <v>70</v>
      </c>
      <c r="E126" s="30"/>
      <c r="F126" s="25" t="s">
        <v>178</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2">
      <c r="B127" s="22" t="b">
        <v>1</v>
      </c>
      <c r="C127" s="22" t="str">
        <f t="shared" si="1"/>
        <v>NM_IOU RPS: Wind Diversity Requirement</v>
      </c>
      <c r="D127" s="29" t="s">
        <v>70</v>
      </c>
      <c r="E127" s="30"/>
      <c r="F127" s="25" t="s">
        <v>179</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2">
      <c r="B128" s="22" t="b">
        <v>1</v>
      </c>
      <c r="C128" s="22" t="str">
        <f t="shared" si="1"/>
        <v>NM_IOU RPS: Solar Diversity Requirement</v>
      </c>
      <c r="D128" s="29" t="s">
        <v>70</v>
      </c>
      <c r="E128" s="30"/>
      <c r="F128" s="25" t="s">
        <v>180</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2">
      <c r="B129" s="22" t="b">
        <v>1</v>
      </c>
      <c r="C129" s="22" t="str">
        <f t="shared" si="1"/>
        <v>NM_IOU RPS: Non-Wind/Solar Diversity Requirement</v>
      </c>
      <c r="D129" s="29" t="s">
        <v>70</v>
      </c>
      <c r="E129" s="30"/>
      <c r="F129" s="32" t="s">
        <v>181</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2">
      <c r="B130" s="22" t="b">
        <v>1</v>
      </c>
      <c r="C130" s="22" t="str">
        <f t="shared" si="1"/>
        <v>NM_Total CES</v>
      </c>
      <c r="D130" s="29" t="s">
        <v>70</v>
      </c>
      <c r="E130" s="30"/>
      <c r="F130" s="25" t="s">
        <v>121</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2">
      <c r="B131" s="22" t="b">
        <v>1</v>
      </c>
      <c r="C131" s="22" t="str">
        <f t="shared" si="1"/>
        <v>NM_   IOUs</v>
      </c>
      <c r="D131" s="29" t="s">
        <v>70</v>
      </c>
      <c r="E131" s="30"/>
      <c r="F131" s="25" t="s">
        <v>122</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2">
      <c r="B132" s="22" t="b">
        <v>1</v>
      </c>
      <c r="C132" s="22" t="str">
        <f t="shared" si="1"/>
        <v>NM_   Coops</v>
      </c>
      <c r="D132" s="29" t="s">
        <v>70</v>
      </c>
      <c r="E132" s="30"/>
      <c r="F132" s="32" t="s">
        <v>177</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x14ac:dyDescent="0.2">
      <c r="B133" s="22" t="b">
        <v>1</v>
      </c>
      <c r="C133" s="22" t="str">
        <f t="shared" si="1"/>
        <v>NV_Total RPS</v>
      </c>
      <c r="D133" s="29" t="s">
        <v>64</v>
      </c>
      <c r="E133" s="30" t="s">
        <v>139</v>
      </c>
      <c r="F133" s="25" t="s">
        <v>118</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2">
      <c r="B134" s="22" t="b">
        <v>1</v>
      </c>
      <c r="C134" s="22" t="str">
        <f t="shared" si="1"/>
        <v>NV_Total CES</v>
      </c>
      <c r="D134" s="29" t="s">
        <v>64</v>
      </c>
      <c r="E134" s="30"/>
      <c r="F134" s="25" t="s">
        <v>121</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x14ac:dyDescent="0.2">
      <c r="B135" s="22" t="b">
        <v>1</v>
      </c>
      <c r="C135" s="22" t="str">
        <f t="shared" si="1"/>
        <v>NY_Total RPS</v>
      </c>
      <c r="D135" s="29" t="s">
        <v>72</v>
      </c>
      <c r="E135" s="30" t="s">
        <v>182</v>
      </c>
      <c r="F135" s="32" t="s">
        <v>118</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2">
      <c r="B136" s="22" t="b">
        <v>1</v>
      </c>
      <c r="C136" s="22" t="str">
        <f t="shared" si="1"/>
        <v>NY_Total CES</v>
      </c>
      <c r="D136" s="29" t="s">
        <v>72</v>
      </c>
      <c r="E136" s="30"/>
      <c r="F136" s="32" t="s">
        <v>121</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x14ac:dyDescent="0.2">
      <c r="B137" s="22" t="b">
        <v>1</v>
      </c>
      <c r="C137" s="22" t="str">
        <f t="shared" si="1"/>
        <v>OH_Total RPS</v>
      </c>
      <c r="D137" s="29" t="s">
        <v>78</v>
      </c>
      <c r="E137" s="30" t="s">
        <v>139</v>
      </c>
      <c r="F137" s="32" t="s">
        <v>118</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2">
      <c r="B138" s="22" t="b">
        <v>1</v>
      </c>
      <c r="C138" s="22" t="str">
        <f t="shared" si="1"/>
        <v>OH_   Solar Carve-Out</v>
      </c>
      <c r="D138" s="29" t="s">
        <v>78</v>
      </c>
      <c r="E138" s="30"/>
      <c r="F138" s="25" t="s">
        <v>132</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x14ac:dyDescent="0.2">
      <c r="B139" s="22" t="b">
        <v>1</v>
      </c>
      <c r="C139" s="22" t="str">
        <f t="shared" si="1"/>
        <v>OR_Total RPS</v>
      </c>
      <c r="D139" s="29" t="s">
        <v>82</v>
      </c>
      <c r="E139" s="30" t="s">
        <v>160</v>
      </c>
      <c r="F139" s="32" t="s">
        <v>118</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2">
      <c r="B140" s="22" t="b">
        <v>1</v>
      </c>
      <c r="C140" s="22" t="str">
        <f t="shared" si="1"/>
        <v>OR_   Large IOUs</v>
      </c>
      <c r="D140" s="29" t="s">
        <v>82</v>
      </c>
      <c r="E140" s="30"/>
      <c r="F140" s="32" t="s">
        <v>183</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2">
      <c r="B141" s="22" t="b">
        <v>1</v>
      </c>
      <c r="C141" s="22" t="str">
        <f t="shared" si="1"/>
        <v>OR_   Large Consumer Owned Utilities</v>
      </c>
      <c r="D141" s="34" t="s">
        <v>82</v>
      </c>
      <c r="E141" s="35"/>
      <c r="F141" s="25" t="s">
        <v>184</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2">
      <c r="B142" s="22" t="b">
        <v>1</v>
      </c>
      <c r="C142" s="22" t="str">
        <f t="shared" si="1"/>
        <v>OR_   Medium-to-Large Utilities</v>
      </c>
      <c r="D142" s="29" t="s">
        <v>82</v>
      </c>
      <c r="E142" s="30"/>
      <c r="F142" s="25" t="s">
        <v>185</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2">
      <c r="B143" s="22" t="b">
        <v>1</v>
      </c>
      <c r="C143" s="22" t="str">
        <f t="shared" si="1"/>
        <v>OR_   Medium Utilities</v>
      </c>
      <c r="D143" s="29" t="s">
        <v>82</v>
      </c>
      <c r="E143" s="30"/>
      <c r="F143" s="32" t="s">
        <v>186</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2">
      <c r="B144" s="22" t="b">
        <v>1</v>
      </c>
      <c r="C144" s="22" t="str">
        <f t="shared" si="1"/>
        <v>OR_   Small Utilities</v>
      </c>
      <c r="D144" s="29" t="s">
        <v>82</v>
      </c>
      <c r="E144" s="30"/>
      <c r="F144" s="32" t="s">
        <v>187</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2">
      <c r="B145" s="22" t="b">
        <v>1</v>
      </c>
      <c r="C145" s="22" t="str">
        <f t="shared" si="1"/>
        <v>OR_Solar Carve-Out (IOUs only)</v>
      </c>
      <c r="D145" s="29" t="s">
        <v>82</v>
      </c>
      <c r="E145" s="30"/>
      <c r="F145" s="32" t="s">
        <v>157</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2">
      <c r="B146" s="22" t="b">
        <v>1</v>
      </c>
      <c r="C146" s="22" t="str">
        <f t="shared" si="1"/>
        <v>OR_Total CES</v>
      </c>
      <c r="D146" s="29" t="s">
        <v>82</v>
      </c>
      <c r="E146" s="30"/>
      <c r="F146" s="25" t="s">
        <v>121</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x14ac:dyDescent="0.2">
      <c r="B147" s="22" t="b">
        <v>1</v>
      </c>
      <c r="C147" s="22" t="str">
        <f t="shared" si="1"/>
        <v>PA_Total RPS</v>
      </c>
      <c r="D147" s="29" t="s">
        <v>84</v>
      </c>
      <c r="E147" s="30" t="s">
        <v>139</v>
      </c>
      <c r="F147" s="32" t="s">
        <v>118</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2">
      <c r="B148" s="22" t="b">
        <v>1</v>
      </c>
      <c r="C148" s="22" t="str">
        <f t="shared" si="1"/>
        <v>PA_   Solar Carve-Out</v>
      </c>
      <c r="D148" s="29" t="s">
        <v>84</v>
      </c>
      <c r="E148" s="30"/>
      <c r="F148" s="32" t="s">
        <v>132</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2">
      <c r="B149" s="22" t="b">
        <v>1</v>
      </c>
      <c r="C149" s="22" t="str">
        <f t="shared" si="1"/>
        <v>PA_   Tier I Non-Solar</v>
      </c>
      <c r="D149" s="29" t="s">
        <v>84</v>
      </c>
      <c r="E149" s="30"/>
      <c r="F149" s="25" t="s">
        <v>133</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2">
      <c r="B150" s="22" t="b">
        <v>1</v>
      </c>
      <c r="C150" s="22" t="str">
        <f t="shared" si="1"/>
        <v>PA_   Tier II</v>
      </c>
      <c r="D150" s="27" t="s">
        <v>84</v>
      </c>
      <c r="E150" s="28"/>
      <c r="F150" s="32" t="s">
        <v>134</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x14ac:dyDescent="0.2">
      <c r="B151" s="22" t="b">
        <v>1</v>
      </c>
      <c r="C151" s="22" t="str">
        <f t="shared" si="1"/>
        <v>RI_Total RPS</v>
      </c>
      <c r="D151" s="23" t="s">
        <v>86</v>
      </c>
      <c r="E151" s="24" t="s">
        <v>139</v>
      </c>
      <c r="F151" s="25" t="s">
        <v>118</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2">
      <c r="B152" s="22" t="b">
        <v>1</v>
      </c>
      <c r="C152" s="22" t="str">
        <f t="shared" si="1"/>
        <v>RI_   New</v>
      </c>
      <c r="D152" s="29" t="s">
        <v>86</v>
      </c>
      <c r="E152" s="30"/>
      <c r="F152" s="25" t="s">
        <v>188</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2">
      <c r="B153" s="22" t="b">
        <v>1</v>
      </c>
      <c r="C153" s="22" t="str">
        <f t="shared" si="1"/>
        <v>RI_   Existing</v>
      </c>
      <c r="D153" s="50" t="s">
        <v>86</v>
      </c>
      <c r="E153" s="51"/>
      <c r="F153" s="25" t="s">
        <v>136</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2">
      <c r="B154" s="22" t="b">
        <v>1</v>
      </c>
      <c r="C154" s="22" t="str">
        <f t="shared" si="1"/>
        <v>TX_Total RPS</v>
      </c>
      <c r="D154" s="52" t="s">
        <v>94</v>
      </c>
      <c r="E154" s="53" t="s">
        <v>189</v>
      </c>
      <c r="F154" s="11" t="s">
        <v>118</v>
      </c>
      <c r="G154" s="54">
        <v>0</v>
      </c>
      <c r="H154" s="54">
        <v>0</v>
      </c>
      <c r="I154" s="54">
        <v>1.6E-2</v>
      </c>
      <c r="J154" s="54">
        <v>1.67E-2</v>
      </c>
      <c r="K154" s="54">
        <v>1.6400000000000001E-2</v>
      </c>
      <c r="L154" s="54">
        <v>1.6899999999999998E-2</v>
      </c>
      <c r="M154" s="54">
        <v>1.6799999999999999E-2</v>
      </c>
      <c r="N154" s="54">
        <v>2.2499999999999999E-2</v>
      </c>
      <c r="O154" s="54">
        <v>2.5899999999999999E-2</v>
      </c>
      <c r="P154" s="54">
        <v>3.7600000000000001E-2</v>
      </c>
      <c r="Q154" s="54">
        <v>3.4099999999999998E-2</v>
      </c>
      <c r="R154" s="54">
        <v>4.1799999999999997E-2</v>
      </c>
      <c r="S154" s="54">
        <v>4.4600000000000001E-2</v>
      </c>
      <c r="T154" s="54">
        <v>5.4199999999999998E-2</v>
      </c>
      <c r="U154" s="54">
        <v>5.33E-2</v>
      </c>
      <c r="V154" s="54">
        <v>5.9299999999999999E-2</v>
      </c>
      <c r="W154" s="54">
        <v>6.0199999999999997E-2</v>
      </c>
      <c r="X154" s="54">
        <v>5.9700000000000003E-2</v>
      </c>
      <c r="Y154" s="54">
        <v>5.7000000000000002E-2</v>
      </c>
      <c r="Z154" s="54">
        <v>5.67E-2</v>
      </c>
      <c r="AA154" s="55">
        <v>5.6099999999999997E-2</v>
      </c>
      <c r="AB154" s="55">
        <v>5.4800000000000001E-2</v>
      </c>
      <c r="AC154" s="55">
        <v>5.0299999999999997E-2</v>
      </c>
      <c r="AD154" s="55">
        <v>5.1499999999999997E-2</v>
      </c>
      <c r="AE154" s="55">
        <v>5.0299999999999997E-2</v>
      </c>
      <c r="AF154" s="55">
        <v>5.0099999999999999E-2</v>
      </c>
      <c r="AG154" s="55">
        <v>4.9700000000000001E-2</v>
      </c>
      <c r="AH154" s="55">
        <v>4.9299999999999997E-2</v>
      </c>
      <c r="AI154" s="55">
        <v>4.87E-2</v>
      </c>
      <c r="AJ154" s="55">
        <v>4.82E-2</v>
      </c>
      <c r="AK154" s="55">
        <v>4.8000000000000001E-2</v>
      </c>
      <c r="AL154" s="55">
        <v>4.7699999999999999E-2</v>
      </c>
      <c r="AM154" s="55">
        <v>4.7199999999999999E-2</v>
      </c>
      <c r="AN154" s="55">
        <v>4.6899999999999997E-2</v>
      </c>
      <c r="AO154" s="55">
        <v>4.6600000000000003E-2</v>
      </c>
      <c r="AP154" s="55">
        <v>4.6199999999999998E-2</v>
      </c>
      <c r="AQ154" s="55">
        <v>4.5900000000000003E-2</v>
      </c>
      <c r="AR154" s="55">
        <v>4.5499999999999999E-2</v>
      </c>
      <c r="AS154" s="55">
        <v>4.5100000000000001E-2</v>
      </c>
      <c r="AT154" s="55">
        <v>4.4699999999999997E-2</v>
      </c>
      <c r="AU154" s="55">
        <v>4.4299999999999999E-2</v>
      </c>
      <c r="AV154" s="55">
        <v>4.3900000000000002E-2</v>
      </c>
      <c r="AW154" s="55">
        <v>4.36E-2</v>
      </c>
      <c r="AX154" s="55">
        <v>4.3299999999999998E-2</v>
      </c>
      <c r="AY154" s="55">
        <v>4.2999999999999997E-2</v>
      </c>
      <c r="AZ154" s="55">
        <v>4.2599999999999999E-2</v>
      </c>
      <c r="BA154" s="55">
        <v>4.2200000000000001E-2</v>
      </c>
      <c r="BB154" s="55">
        <v>4.1700000000000001E-2</v>
      </c>
      <c r="BC154" s="55">
        <v>4.1300000000000003E-2</v>
      </c>
      <c r="BD154" s="55">
        <v>4.1000000000000002E-2</v>
      </c>
      <c r="BE154" s="55">
        <v>4.0500000000000001E-2</v>
      </c>
    </row>
    <row r="155" spans="2:60" x14ac:dyDescent="0.2">
      <c r="B155" s="22" t="b">
        <v>1</v>
      </c>
      <c r="C155" s="22" t="str">
        <f t="shared" si="1"/>
        <v>VA_Total RPS</v>
      </c>
      <c r="D155" s="53" t="s">
        <v>100</v>
      </c>
      <c r="E155" s="53" t="s">
        <v>190</v>
      </c>
      <c r="F155" s="56" t="s">
        <v>118</v>
      </c>
      <c r="G155" s="54">
        <v>0</v>
      </c>
      <c r="H155" s="54">
        <v>0</v>
      </c>
      <c r="I155" s="54">
        <v>0</v>
      </c>
      <c r="J155" s="54">
        <v>0</v>
      </c>
      <c r="K155" s="54">
        <v>0</v>
      </c>
      <c r="L155" s="54">
        <v>0</v>
      </c>
      <c r="M155" s="54">
        <v>0</v>
      </c>
      <c r="N155" s="54">
        <v>0</v>
      </c>
      <c r="O155" s="54">
        <v>0</v>
      </c>
      <c r="P155" s="54">
        <v>0</v>
      </c>
      <c r="Q155" s="54">
        <v>0</v>
      </c>
      <c r="R155" s="54">
        <v>0</v>
      </c>
      <c r="S155" s="54">
        <v>0</v>
      </c>
      <c r="T155" s="54">
        <v>0</v>
      </c>
      <c r="U155" s="54">
        <v>0</v>
      </c>
      <c r="V155" s="54">
        <v>0</v>
      </c>
      <c r="W155" s="54">
        <v>0</v>
      </c>
      <c r="X155" s="54">
        <v>0</v>
      </c>
      <c r="Y155" s="54">
        <v>0</v>
      </c>
      <c r="Z155" s="54">
        <v>0</v>
      </c>
      <c r="AA155" s="55">
        <v>0</v>
      </c>
      <c r="AB155" s="55">
        <v>8.6499999999999994E-2</v>
      </c>
      <c r="AC155" s="55">
        <v>0.1075</v>
      </c>
      <c r="AD155" s="55">
        <v>0.12590000000000001</v>
      </c>
      <c r="AE155" s="55">
        <v>0.1459</v>
      </c>
      <c r="AF155" s="55">
        <v>0.16869999999999999</v>
      </c>
      <c r="AG155" s="55">
        <v>0.19059999999999999</v>
      </c>
      <c r="AH155" s="55">
        <v>0.2127</v>
      </c>
      <c r="AI155" s="55">
        <v>0.2366</v>
      </c>
      <c r="AJ155" s="55">
        <v>0.25919999999999999</v>
      </c>
      <c r="AK155" s="55">
        <v>0.28189999999999998</v>
      </c>
      <c r="AL155" s="55">
        <v>0.31059999999999999</v>
      </c>
      <c r="AM155" s="55">
        <v>0.33950000000000002</v>
      </c>
      <c r="AN155" s="55">
        <v>0.36220000000000002</v>
      </c>
      <c r="AO155" s="55">
        <v>0.3851</v>
      </c>
      <c r="AP155" s="55">
        <v>0.4143</v>
      </c>
      <c r="AQ155" s="55">
        <v>0.45050000000000001</v>
      </c>
      <c r="AR155" s="55">
        <v>0.4758</v>
      </c>
      <c r="AS155" s="55">
        <v>0.50660000000000005</v>
      </c>
      <c r="AT155" s="55">
        <v>0.53749999999999998</v>
      </c>
      <c r="AU155" s="55">
        <v>0.56879999999999997</v>
      </c>
      <c r="AV155" s="55">
        <v>0.59909999999999997</v>
      </c>
      <c r="AW155" s="55">
        <v>0.62970000000000004</v>
      </c>
      <c r="AX155" s="55">
        <v>0.66059999999999997</v>
      </c>
      <c r="AY155" s="55">
        <v>0.6915</v>
      </c>
      <c r="AZ155" s="55">
        <v>0.72860000000000003</v>
      </c>
      <c r="BA155" s="55">
        <v>0.73640000000000005</v>
      </c>
      <c r="BB155" s="55">
        <v>0.74419999999999997</v>
      </c>
      <c r="BC155" s="55">
        <v>0.75209999999999999</v>
      </c>
      <c r="BD155" s="55">
        <v>0.7601</v>
      </c>
      <c r="BE155" s="55">
        <v>0.76839999999999997</v>
      </c>
    </row>
    <row r="156" spans="2:60" x14ac:dyDescent="0.2">
      <c r="B156" s="22" t="b">
        <v>1</v>
      </c>
      <c r="C156" s="22" t="str">
        <f t="shared" ref="C156:C166" si="2">D156&amp;"_"&amp;F156</f>
        <v>VA_   Appalachian RPS (% of non-nuclear)</v>
      </c>
      <c r="D156" s="57" t="s">
        <v>100</v>
      </c>
      <c r="E156" s="57"/>
      <c r="F156" s="56" t="s">
        <v>191</v>
      </c>
      <c r="G156" s="54">
        <v>0</v>
      </c>
      <c r="H156" s="54">
        <v>0</v>
      </c>
      <c r="I156" s="54">
        <v>0</v>
      </c>
      <c r="J156" s="54">
        <v>0</v>
      </c>
      <c r="K156" s="54">
        <v>0</v>
      </c>
      <c r="L156" s="54">
        <v>0</v>
      </c>
      <c r="M156" s="54">
        <v>0</v>
      </c>
      <c r="N156" s="54">
        <v>0</v>
      </c>
      <c r="O156" s="54">
        <v>0</v>
      </c>
      <c r="P156" s="54">
        <v>0</v>
      </c>
      <c r="Q156" s="54">
        <v>0</v>
      </c>
      <c r="R156" s="54">
        <v>0</v>
      </c>
      <c r="S156" s="54">
        <v>0</v>
      </c>
      <c r="T156" s="54">
        <v>0</v>
      </c>
      <c r="U156" s="54">
        <v>0</v>
      </c>
      <c r="V156" s="54">
        <v>0</v>
      </c>
      <c r="W156" s="54">
        <v>0</v>
      </c>
      <c r="X156" s="54">
        <v>0</v>
      </c>
      <c r="Y156" s="54">
        <v>0</v>
      </c>
      <c r="Z156" s="54">
        <v>0</v>
      </c>
      <c r="AA156" s="55">
        <v>0</v>
      </c>
      <c r="AB156" s="55">
        <v>5.5199999999999999E-2</v>
      </c>
      <c r="AC156" s="55">
        <v>6.4500000000000002E-2</v>
      </c>
      <c r="AD156" s="55">
        <v>7.3700000000000002E-2</v>
      </c>
      <c r="AE156" s="55">
        <v>9.2100000000000001E-2</v>
      </c>
      <c r="AF156" s="55">
        <v>0.129</v>
      </c>
      <c r="AG156" s="55">
        <v>0.15670000000000001</v>
      </c>
      <c r="AH156" s="55">
        <v>0.18440000000000001</v>
      </c>
      <c r="AI156" s="55">
        <v>0.2215</v>
      </c>
      <c r="AJ156" s="55">
        <v>0.24940000000000001</v>
      </c>
      <c r="AK156" s="55">
        <v>0.27739999999999998</v>
      </c>
      <c r="AL156" s="55">
        <v>0.30530000000000002</v>
      </c>
      <c r="AM156" s="55">
        <v>0.33329999999999999</v>
      </c>
      <c r="AN156" s="55">
        <v>0.36130000000000001</v>
      </c>
      <c r="AO156" s="55">
        <v>0.38929999999999998</v>
      </c>
      <c r="AP156" s="55">
        <v>0.4173</v>
      </c>
      <c r="AQ156" s="55">
        <v>0.49180000000000001</v>
      </c>
      <c r="AR156" s="55">
        <v>0.49209999999999998</v>
      </c>
      <c r="AS156" s="55">
        <v>0.52949999999999997</v>
      </c>
      <c r="AT156" s="55">
        <v>0.56699999999999995</v>
      </c>
      <c r="AU156" s="55">
        <v>0.60450000000000004</v>
      </c>
      <c r="AV156" s="55">
        <v>0.63290000000000002</v>
      </c>
      <c r="AW156" s="55">
        <v>0.6613</v>
      </c>
      <c r="AX156" s="55">
        <v>0.68969999999999998</v>
      </c>
      <c r="AY156" s="55">
        <v>0.71819999999999995</v>
      </c>
      <c r="AZ156" s="55">
        <v>0.74660000000000004</v>
      </c>
      <c r="BA156" s="55">
        <v>0.78449999999999998</v>
      </c>
      <c r="BB156" s="55">
        <v>0.82240000000000002</v>
      </c>
      <c r="BC156" s="55">
        <v>0.86040000000000005</v>
      </c>
      <c r="BD156" s="55">
        <v>0.89849999999999997</v>
      </c>
      <c r="BE156" s="55">
        <v>0.93669999999999998</v>
      </c>
    </row>
    <row r="157" spans="2:60" x14ac:dyDescent="0.2">
      <c r="B157" s="22" t="b">
        <v>1</v>
      </c>
      <c r="C157" s="22" t="str">
        <f t="shared" si="2"/>
        <v>VA_   Dominion RPS (% of non-nuclear)</v>
      </c>
      <c r="D157" s="57" t="s">
        <v>100</v>
      </c>
      <c r="E157" s="57"/>
      <c r="F157" s="56" t="s">
        <v>192</v>
      </c>
      <c r="G157" s="54">
        <v>0</v>
      </c>
      <c r="H157" s="54">
        <v>0</v>
      </c>
      <c r="I157" s="54">
        <v>0</v>
      </c>
      <c r="J157" s="54">
        <v>0</v>
      </c>
      <c r="K157" s="54">
        <v>0</v>
      </c>
      <c r="L157" s="54">
        <v>0</v>
      </c>
      <c r="M157" s="54">
        <v>0</v>
      </c>
      <c r="N157" s="54">
        <v>0</v>
      </c>
      <c r="O157" s="54">
        <v>0</v>
      </c>
      <c r="P157" s="54">
        <v>0</v>
      </c>
      <c r="Q157" s="54">
        <v>0</v>
      </c>
      <c r="R157" s="54">
        <v>0</v>
      </c>
      <c r="S157" s="54">
        <v>0</v>
      </c>
      <c r="T157" s="54">
        <v>0</v>
      </c>
      <c r="U157" s="54">
        <v>0</v>
      </c>
      <c r="V157" s="54">
        <v>0</v>
      </c>
      <c r="W157" s="54">
        <v>0</v>
      </c>
      <c r="X157" s="54">
        <v>0</v>
      </c>
      <c r="Y157" s="54">
        <v>0</v>
      </c>
      <c r="Z157" s="54">
        <v>0</v>
      </c>
      <c r="AA157" s="55">
        <v>0</v>
      </c>
      <c r="AB157" s="55">
        <v>9.2100000000000001E-2</v>
      </c>
      <c r="AC157" s="55">
        <v>0.115</v>
      </c>
      <c r="AD157" s="55">
        <v>0.13500000000000001</v>
      </c>
      <c r="AE157" s="55">
        <v>0.15509999999999999</v>
      </c>
      <c r="AF157" s="55">
        <v>0.17560000000000001</v>
      </c>
      <c r="AG157" s="55">
        <v>0.19650000000000001</v>
      </c>
      <c r="AH157" s="55">
        <v>0.21759999999999999</v>
      </c>
      <c r="AI157" s="55">
        <v>0.2392</v>
      </c>
      <c r="AJ157" s="55">
        <v>0.26090000000000002</v>
      </c>
      <c r="AK157" s="55">
        <v>0.28270000000000001</v>
      </c>
      <c r="AL157" s="55">
        <v>0.3115</v>
      </c>
      <c r="AM157" s="55">
        <v>0.34050000000000002</v>
      </c>
      <c r="AN157" s="55">
        <v>0.3624</v>
      </c>
      <c r="AO157" s="55">
        <v>0.38429999999999997</v>
      </c>
      <c r="AP157" s="55">
        <v>0.4138</v>
      </c>
      <c r="AQ157" s="55">
        <v>0.44330000000000003</v>
      </c>
      <c r="AR157" s="55">
        <v>0.47299999999999998</v>
      </c>
      <c r="AS157" s="55">
        <v>0.50260000000000005</v>
      </c>
      <c r="AT157" s="55">
        <v>0.53239999999999998</v>
      </c>
      <c r="AU157" s="55">
        <v>0.56259999999999999</v>
      </c>
      <c r="AV157" s="55">
        <v>0.59330000000000005</v>
      </c>
      <c r="AW157" s="55">
        <v>0.62429999999999997</v>
      </c>
      <c r="AX157" s="55">
        <v>0.65559999999999996</v>
      </c>
      <c r="AY157" s="55">
        <v>0.68689999999999996</v>
      </c>
      <c r="AZ157" s="55">
        <v>0.72550000000000003</v>
      </c>
      <c r="BA157" s="55">
        <v>0.72799999999999998</v>
      </c>
      <c r="BB157" s="55">
        <v>0.73070000000000002</v>
      </c>
      <c r="BC157" s="55">
        <v>0.73340000000000005</v>
      </c>
      <c r="BD157" s="55">
        <v>0.73619999999999997</v>
      </c>
      <c r="BE157" s="55">
        <v>0.73929999999999996</v>
      </c>
    </row>
    <row r="158" spans="2:60" x14ac:dyDescent="0.2">
      <c r="B158" s="22" t="b">
        <v>1</v>
      </c>
      <c r="C158" s="22" t="str">
        <f t="shared" si="2"/>
        <v>VA_   DG Carve-Out (Dominion)</v>
      </c>
      <c r="D158" s="57" t="s">
        <v>100</v>
      </c>
      <c r="E158" s="57"/>
      <c r="F158" s="56" t="s">
        <v>193</v>
      </c>
      <c r="G158" s="54">
        <v>0</v>
      </c>
      <c r="H158" s="54">
        <v>0</v>
      </c>
      <c r="I158" s="54">
        <v>0</v>
      </c>
      <c r="J158" s="54">
        <v>0</v>
      </c>
      <c r="K158" s="54">
        <v>0</v>
      </c>
      <c r="L158" s="54">
        <v>0</v>
      </c>
      <c r="M158" s="54">
        <v>0</v>
      </c>
      <c r="N158" s="54">
        <v>0</v>
      </c>
      <c r="O158" s="54">
        <v>0</v>
      </c>
      <c r="P158" s="54">
        <v>0</v>
      </c>
      <c r="Q158" s="54">
        <v>0</v>
      </c>
      <c r="R158" s="54">
        <v>0</v>
      </c>
      <c r="S158" s="54">
        <v>0</v>
      </c>
      <c r="T158" s="54">
        <v>0</v>
      </c>
      <c r="U158" s="54">
        <v>0</v>
      </c>
      <c r="V158" s="54">
        <v>0</v>
      </c>
      <c r="W158" s="54">
        <v>0</v>
      </c>
      <c r="X158" s="54">
        <v>0</v>
      </c>
      <c r="Y158" s="54">
        <v>0</v>
      </c>
      <c r="Z158" s="54">
        <v>0</v>
      </c>
      <c r="AA158" s="55">
        <v>0</v>
      </c>
      <c r="AB158" s="55">
        <v>1.4E-3</v>
      </c>
      <c r="AC158" s="55">
        <v>1.6999999999999999E-3</v>
      </c>
      <c r="AD158" s="55">
        <v>2E-3</v>
      </c>
      <c r="AE158" s="55">
        <v>2.3E-3</v>
      </c>
      <c r="AF158" s="55">
        <v>2.5999999999999999E-3</v>
      </c>
      <c r="AG158" s="55">
        <v>2.8999999999999998E-3</v>
      </c>
      <c r="AH158" s="55">
        <v>3.2000000000000002E-3</v>
      </c>
      <c r="AI158" s="55">
        <v>3.5000000000000001E-3</v>
      </c>
      <c r="AJ158" s="55">
        <v>3.8E-3</v>
      </c>
      <c r="AK158" s="55">
        <v>4.1000000000000003E-3</v>
      </c>
      <c r="AL158" s="55">
        <v>4.4999999999999997E-3</v>
      </c>
      <c r="AM158" s="55">
        <v>4.8999999999999998E-3</v>
      </c>
      <c r="AN158" s="55">
        <v>5.1999999999999998E-3</v>
      </c>
      <c r="AO158" s="55">
        <v>5.4999999999999997E-3</v>
      </c>
      <c r="AP158" s="55">
        <v>5.8999999999999999E-3</v>
      </c>
      <c r="AQ158" s="55">
        <v>6.3E-3</v>
      </c>
      <c r="AR158" s="55">
        <v>6.7000000000000002E-3</v>
      </c>
      <c r="AS158" s="55">
        <v>7.1000000000000004E-3</v>
      </c>
      <c r="AT158" s="55">
        <v>7.4999999999999997E-3</v>
      </c>
      <c r="AU158" s="55">
        <v>7.9000000000000008E-3</v>
      </c>
      <c r="AV158" s="55">
        <v>8.3000000000000001E-3</v>
      </c>
      <c r="AW158" s="55">
        <v>8.6999999999999994E-3</v>
      </c>
      <c r="AX158" s="55">
        <v>9.1000000000000004E-3</v>
      </c>
      <c r="AY158" s="55">
        <v>9.4999999999999998E-3</v>
      </c>
      <c r="AZ158" s="55">
        <v>0.01</v>
      </c>
      <c r="BA158" s="55">
        <v>0.01</v>
      </c>
      <c r="BB158" s="55">
        <v>0.01</v>
      </c>
      <c r="BC158" s="55">
        <v>0.01</v>
      </c>
      <c r="BD158" s="55">
        <v>0.01</v>
      </c>
      <c r="BE158" s="55">
        <v>0.01</v>
      </c>
    </row>
    <row r="159" spans="2:60" x14ac:dyDescent="0.2">
      <c r="B159" s="22" t="b">
        <v>1</v>
      </c>
      <c r="C159" s="22" t="str">
        <f t="shared" si="2"/>
        <v>VA_Total CES</v>
      </c>
      <c r="D159" s="57" t="s">
        <v>100</v>
      </c>
      <c r="E159" s="57"/>
      <c r="F159" s="56" t="s">
        <v>121</v>
      </c>
      <c r="G159" s="54">
        <v>0</v>
      </c>
      <c r="H159" s="54">
        <v>0</v>
      </c>
      <c r="I159" s="54">
        <v>0</v>
      </c>
      <c r="J159" s="54">
        <v>0</v>
      </c>
      <c r="K159" s="54">
        <v>0</v>
      </c>
      <c r="L159" s="54">
        <v>0</v>
      </c>
      <c r="M159" s="54">
        <v>0</v>
      </c>
      <c r="N159" s="54">
        <v>0</v>
      </c>
      <c r="O159" s="54">
        <v>0</v>
      </c>
      <c r="P159" s="54">
        <v>0</v>
      </c>
      <c r="Q159" s="54">
        <v>0</v>
      </c>
      <c r="R159" s="54">
        <v>0</v>
      </c>
      <c r="S159" s="54">
        <v>0</v>
      </c>
      <c r="T159" s="54">
        <v>0</v>
      </c>
      <c r="U159" s="54">
        <v>0</v>
      </c>
      <c r="V159" s="54">
        <v>0</v>
      </c>
      <c r="W159" s="54">
        <v>0</v>
      </c>
      <c r="X159" s="54">
        <v>0</v>
      </c>
      <c r="Y159" s="54">
        <v>0</v>
      </c>
      <c r="Z159" s="54">
        <v>0</v>
      </c>
      <c r="AA159" s="55">
        <v>0</v>
      </c>
      <c r="AB159" s="55">
        <v>0.3886</v>
      </c>
      <c r="AC159" s="55">
        <v>0.39510000000000001</v>
      </c>
      <c r="AD159" s="55">
        <v>0.4148</v>
      </c>
      <c r="AE159" s="55">
        <v>0.435</v>
      </c>
      <c r="AF159" s="55">
        <v>0.45710000000000001</v>
      </c>
      <c r="AG159" s="55">
        <v>0.47710000000000002</v>
      </c>
      <c r="AH159" s="55">
        <v>0.49709999999999999</v>
      </c>
      <c r="AI159" s="55">
        <v>0.51790000000000003</v>
      </c>
      <c r="AJ159" s="55">
        <v>0.53769999999999996</v>
      </c>
      <c r="AK159" s="55">
        <v>0.55779999999999996</v>
      </c>
      <c r="AL159" s="55">
        <v>0.58409999999999995</v>
      </c>
      <c r="AM159" s="55">
        <v>0.61050000000000004</v>
      </c>
      <c r="AN159" s="55">
        <v>0.63149999999999995</v>
      </c>
      <c r="AO159" s="55">
        <v>0.65269999999999995</v>
      </c>
      <c r="AP159" s="55">
        <v>0.67969999999999997</v>
      </c>
      <c r="AQ159" s="55">
        <v>0.7137</v>
      </c>
      <c r="AR159" s="55">
        <v>0.73709999999999998</v>
      </c>
      <c r="AS159" s="55">
        <v>0.7661</v>
      </c>
      <c r="AT159" s="55">
        <v>0.79530000000000001</v>
      </c>
      <c r="AU159" s="55">
        <v>0.82450000000000001</v>
      </c>
      <c r="AV159" s="55">
        <v>0.85250000000000004</v>
      </c>
      <c r="AW159" s="55">
        <v>0.88070000000000004</v>
      </c>
      <c r="AX159" s="55">
        <v>0.90900000000000003</v>
      </c>
      <c r="AY159" s="55">
        <v>0.93759999999999999</v>
      </c>
      <c r="AZ159" s="55">
        <v>0.97250000000000003</v>
      </c>
      <c r="BA159" s="55">
        <v>0.97799999999999998</v>
      </c>
      <c r="BB159" s="55">
        <v>0.98350000000000004</v>
      </c>
      <c r="BC159" s="55">
        <v>0.98899999999999999</v>
      </c>
      <c r="BD159" s="55">
        <v>0.99450000000000005</v>
      </c>
      <c r="BE159" s="55">
        <v>1</v>
      </c>
    </row>
    <row r="160" spans="2:60" x14ac:dyDescent="0.2">
      <c r="B160" s="22" t="b">
        <v>1</v>
      </c>
      <c r="C160" s="22" t="str">
        <f t="shared" si="2"/>
        <v>VA_   Appalachian Power</v>
      </c>
      <c r="D160" s="57" t="s">
        <v>100</v>
      </c>
      <c r="E160" s="57"/>
      <c r="F160" s="56" t="s">
        <v>194</v>
      </c>
      <c r="G160" s="54">
        <v>0</v>
      </c>
      <c r="H160" s="54">
        <v>0</v>
      </c>
      <c r="I160" s="54">
        <v>0</v>
      </c>
      <c r="J160" s="54">
        <v>0</v>
      </c>
      <c r="K160" s="54">
        <v>0</v>
      </c>
      <c r="L160" s="54">
        <v>0</v>
      </c>
      <c r="M160" s="54">
        <v>0</v>
      </c>
      <c r="N160" s="54">
        <v>0</v>
      </c>
      <c r="O160" s="54">
        <v>0</v>
      </c>
      <c r="P160" s="54">
        <v>0</v>
      </c>
      <c r="Q160" s="54">
        <v>0</v>
      </c>
      <c r="R160" s="54">
        <v>0</v>
      </c>
      <c r="S160" s="54">
        <v>0</v>
      </c>
      <c r="T160" s="54">
        <v>0</v>
      </c>
      <c r="U160" s="54">
        <v>0</v>
      </c>
      <c r="V160" s="54">
        <v>0</v>
      </c>
      <c r="W160" s="54">
        <v>0</v>
      </c>
      <c r="X160" s="54">
        <v>0</v>
      </c>
      <c r="Y160" s="54">
        <v>0</v>
      </c>
      <c r="Z160" s="54">
        <v>0</v>
      </c>
      <c r="AA160" s="55">
        <v>0</v>
      </c>
      <c r="AB160" s="55">
        <v>0.13489999999999999</v>
      </c>
      <c r="AC160" s="55">
        <v>0.1431</v>
      </c>
      <c r="AD160" s="55">
        <v>0.1527</v>
      </c>
      <c r="AE160" s="55">
        <v>0.17119999999999999</v>
      </c>
      <c r="AF160" s="55">
        <v>0.20780000000000001</v>
      </c>
      <c r="AG160" s="55">
        <v>0.23499999999999999</v>
      </c>
      <c r="AH160" s="55">
        <v>0.26219999999999999</v>
      </c>
      <c r="AI160" s="55">
        <v>0.29849999999999999</v>
      </c>
      <c r="AJ160" s="55">
        <v>0.3256</v>
      </c>
      <c r="AK160" s="55">
        <v>0.3528</v>
      </c>
      <c r="AL160" s="55">
        <v>0.38009999999999999</v>
      </c>
      <c r="AM160" s="55">
        <v>0.40739999999999998</v>
      </c>
      <c r="AN160" s="55">
        <v>0.43490000000000001</v>
      </c>
      <c r="AO160" s="55">
        <v>0.46239999999999998</v>
      </c>
      <c r="AP160" s="55">
        <v>0.4899</v>
      </c>
      <c r="AQ160" s="55">
        <v>0.56379999999999997</v>
      </c>
      <c r="AR160" s="55">
        <v>0.56359999999999999</v>
      </c>
      <c r="AS160" s="55">
        <v>0.60050000000000003</v>
      </c>
      <c r="AT160" s="55">
        <v>0.63749999999999996</v>
      </c>
      <c r="AU160" s="55">
        <v>0.67449999999999999</v>
      </c>
      <c r="AV160" s="55">
        <v>0.70220000000000005</v>
      </c>
      <c r="AW160" s="55">
        <v>0.72989999999999999</v>
      </c>
      <c r="AX160" s="55">
        <v>0.75770000000000004</v>
      </c>
      <c r="AY160" s="55">
        <v>0.78549999999999998</v>
      </c>
      <c r="AZ160" s="55">
        <v>0.81330000000000002</v>
      </c>
      <c r="BA160" s="55">
        <v>0.85060000000000002</v>
      </c>
      <c r="BB160" s="55">
        <v>0.88790000000000002</v>
      </c>
      <c r="BC160" s="55">
        <v>0.92520000000000002</v>
      </c>
      <c r="BD160" s="55">
        <v>0.96260000000000001</v>
      </c>
      <c r="BE160" s="55">
        <v>1</v>
      </c>
    </row>
    <row r="161" spans="2:57" x14ac:dyDescent="0.2">
      <c r="B161" s="22" t="b">
        <v>1</v>
      </c>
      <c r="C161" s="22" t="str">
        <f t="shared" si="2"/>
        <v>VA_   Dominion Power</v>
      </c>
      <c r="D161" s="58" t="s">
        <v>100</v>
      </c>
      <c r="E161" s="58"/>
      <c r="F161" s="56" t="s">
        <v>195</v>
      </c>
      <c r="G161" s="54">
        <v>0</v>
      </c>
      <c r="H161" s="54">
        <v>0</v>
      </c>
      <c r="I161" s="54">
        <v>0</v>
      </c>
      <c r="J161" s="54">
        <v>0</v>
      </c>
      <c r="K161" s="54">
        <v>0</v>
      </c>
      <c r="L161" s="54">
        <v>0</v>
      </c>
      <c r="M161" s="54">
        <v>0</v>
      </c>
      <c r="N161" s="54">
        <v>0</v>
      </c>
      <c r="O161" s="54">
        <v>0</v>
      </c>
      <c r="P161" s="54">
        <v>0</v>
      </c>
      <c r="Q161" s="54">
        <v>0</v>
      </c>
      <c r="R161" s="54">
        <v>0</v>
      </c>
      <c r="S161" s="54">
        <v>0</v>
      </c>
      <c r="T161" s="54">
        <v>0</v>
      </c>
      <c r="U161" s="54">
        <v>0</v>
      </c>
      <c r="V161" s="54">
        <v>0</v>
      </c>
      <c r="W161" s="54">
        <v>0</v>
      </c>
      <c r="X161" s="54">
        <v>0</v>
      </c>
      <c r="Y161" s="54">
        <v>0</v>
      </c>
      <c r="Z161" s="54">
        <v>0</v>
      </c>
      <c r="AA161" s="55">
        <v>0</v>
      </c>
      <c r="AB161" s="55">
        <v>0.43430000000000002</v>
      </c>
      <c r="AC161" s="55">
        <v>0.43859999999999999</v>
      </c>
      <c r="AD161" s="55">
        <v>0.46010000000000001</v>
      </c>
      <c r="AE161" s="55">
        <v>0.48060000000000003</v>
      </c>
      <c r="AF161" s="55">
        <v>0.50019999999999998</v>
      </c>
      <c r="AG161" s="55">
        <v>0.51900000000000002</v>
      </c>
      <c r="AH161" s="55">
        <v>0.53769999999999996</v>
      </c>
      <c r="AI161" s="55">
        <v>0.55569999999999997</v>
      </c>
      <c r="AJ161" s="55">
        <v>0.57430000000000003</v>
      </c>
      <c r="AK161" s="55">
        <v>0.59319999999999995</v>
      </c>
      <c r="AL161" s="55">
        <v>0.61929999999999996</v>
      </c>
      <c r="AM161" s="55">
        <v>0.64559999999999995</v>
      </c>
      <c r="AN161" s="55">
        <v>0.66549999999999998</v>
      </c>
      <c r="AO161" s="55">
        <v>0.6855</v>
      </c>
      <c r="AP161" s="55">
        <v>0.71250000000000002</v>
      </c>
      <c r="AQ161" s="55">
        <v>0.73960000000000004</v>
      </c>
      <c r="AR161" s="55">
        <v>0.76700000000000002</v>
      </c>
      <c r="AS161" s="55">
        <v>0.79469999999999996</v>
      </c>
      <c r="AT161" s="55">
        <v>0.82250000000000001</v>
      </c>
      <c r="AU161" s="55">
        <v>0.85040000000000004</v>
      </c>
      <c r="AV161" s="55">
        <v>0.87849999999999995</v>
      </c>
      <c r="AW161" s="55">
        <v>0.90669999999999995</v>
      </c>
      <c r="AX161" s="55">
        <v>0.93520000000000003</v>
      </c>
      <c r="AY161" s="55">
        <v>0.96379999999999999</v>
      </c>
      <c r="AZ161" s="55">
        <v>1</v>
      </c>
      <c r="BA161" s="55">
        <v>1</v>
      </c>
      <c r="BB161" s="55">
        <v>1</v>
      </c>
      <c r="BC161" s="55">
        <v>1</v>
      </c>
      <c r="BD161" s="55">
        <v>1</v>
      </c>
      <c r="BE161" s="55">
        <v>1</v>
      </c>
    </row>
    <row r="162" spans="2:57" x14ac:dyDescent="0.2">
      <c r="B162" s="22" t="b">
        <v>1</v>
      </c>
      <c r="C162" s="22" t="str">
        <f t="shared" si="2"/>
        <v>VT_Total RPS</v>
      </c>
      <c r="D162" s="59" t="s">
        <v>98</v>
      </c>
      <c r="E162" s="57" t="s">
        <v>128</v>
      </c>
      <c r="F162" s="58" t="s">
        <v>118</v>
      </c>
      <c r="G162" s="54">
        <v>0</v>
      </c>
      <c r="H162" s="54">
        <v>0</v>
      </c>
      <c r="I162" s="54">
        <v>0</v>
      </c>
      <c r="J162" s="54">
        <v>0</v>
      </c>
      <c r="K162" s="54">
        <v>0</v>
      </c>
      <c r="L162" s="54">
        <v>0</v>
      </c>
      <c r="M162" s="54">
        <v>0</v>
      </c>
      <c r="N162" s="54">
        <v>0</v>
      </c>
      <c r="O162" s="54">
        <v>0</v>
      </c>
      <c r="P162" s="54">
        <v>0</v>
      </c>
      <c r="Q162" s="54">
        <v>0</v>
      </c>
      <c r="R162" s="54">
        <v>0</v>
      </c>
      <c r="S162" s="54">
        <v>0</v>
      </c>
      <c r="T162" s="54">
        <v>0</v>
      </c>
      <c r="U162" s="54">
        <v>0</v>
      </c>
      <c r="V162" s="54">
        <v>0</v>
      </c>
      <c r="W162" s="54">
        <v>0</v>
      </c>
      <c r="X162" s="54">
        <v>0.55000000000000004</v>
      </c>
      <c r="Y162" s="54">
        <v>0.55000000000000004</v>
      </c>
      <c r="Z162" s="54">
        <v>0.55000000000000004</v>
      </c>
      <c r="AA162" s="55">
        <v>0.59</v>
      </c>
      <c r="AB162" s="55">
        <v>0.59</v>
      </c>
      <c r="AC162" s="55">
        <v>0.59</v>
      </c>
      <c r="AD162" s="55">
        <v>0.63</v>
      </c>
      <c r="AE162" s="55">
        <v>0.63</v>
      </c>
      <c r="AF162" s="55">
        <v>0.63</v>
      </c>
      <c r="AG162" s="55">
        <v>0.67</v>
      </c>
      <c r="AH162" s="55">
        <v>0.6724</v>
      </c>
      <c r="AI162" s="55">
        <v>0.67469999999999997</v>
      </c>
      <c r="AJ162" s="55">
        <v>0.7147</v>
      </c>
      <c r="AK162" s="55">
        <v>0.99</v>
      </c>
      <c r="AL162" s="55">
        <v>0.99229999999999996</v>
      </c>
      <c r="AM162" s="55">
        <v>0.99470000000000003</v>
      </c>
      <c r="AN162" s="55">
        <v>0.997</v>
      </c>
      <c r="AO162" s="55">
        <v>1</v>
      </c>
      <c r="AP162" s="55">
        <v>1</v>
      </c>
      <c r="AQ162" s="55">
        <v>1</v>
      </c>
      <c r="AR162" s="55">
        <v>1</v>
      </c>
      <c r="AS162" s="55">
        <v>1</v>
      </c>
      <c r="AT162" s="55">
        <v>1</v>
      </c>
      <c r="AU162" s="55">
        <v>1</v>
      </c>
      <c r="AV162" s="55">
        <v>1</v>
      </c>
      <c r="AW162" s="55">
        <v>1</v>
      </c>
      <c r="AX162" s="55">
        <v>1</v>
      </c>
      <c r="AY162" s="55">
        <v>1</v>
      </c>
      <c r="AZ162" s="55">
        <v>1</v>
      </c>
      <c r="BA162" s="55">
        <v>1</v>
      </c>
      <c r="BB162" s="55">
        <v>1</v>
      </c>
      <c r="BC162" s="55">
        <v>1</v>
      </c>
      <c r="BD162" s="55">
        <v>1</v>
      </c>
      <c r="BE162" s="55">
        <v>1</v>
      </c>
    </row>
    <row r="163" spans="2:57" x14ac:dyDescent="0.2">
      <c r="B163" s="22" t="b">
        <v>1</v>
      </c>
      <c r="C163" s="22" t="str">
        <f t="shared" si="2"/>
        <v>VT_   DG Carve-Out (Wtd. Avg.)</v>
      </c>
      <c r="D163" s="59" t="s">
        <v>98</v>
      </c>
      <c r="E163" s="57"/>
      <c r="F163" s="53" t="s">
        <v>277</v>
      </c>
      <c r="H163" s="54">
        <v>0</v>
      </c>
      <c r="I163" s="54">
        <v>0</v>
      </c>
      <c r="J163" s="54">
        <v>0</v>
      </c>
      <c r="K163" s="54">
        <v>0</v>
      </c>
      <c r="L163" s="54">
        <v>0</v>
      </c>
      <c r="M163" s="54">
        <v>0</v>
      </c>
      <c r="N163" s="54">
        <v>0</v>
      </c>
      <c r="O163" s="54">
        <v>0</v>
      </c>
      <c r="P163" s="54">
        <v>0</v>
      </c>
      <c r="Q163" s="54">
        <v>0</v>
      </c>
      <c r="R163" s="54">
        <v>0</v>
      </c>
      <c r="S163" s="54">
        <v>0</v>
      </c>
      <c r="T163" s="54">
        <v>0</v>
      </c>
      <c r="U163" s="54">
        <v>0</v>
      </c>
      <c r="V163" s="54">
        <v>0</v>
      </c>
      <c r="W163" s="54">
        <v>0</v>
      </c>
      <c r="X163" s="54">
        <v>0.01</v>
      </c>
      <c r="Y163" s="54">
        <v>1.6E-2</v>
      </c>
      <c r="Z163" s="54">
        <v>2.1999999999999999E-2</v>
      </c>
      <c r="AA163" s="55">
        <v>2.8000000000000001E-2</v>
      </c>
      <c r="AB163" s="55">
        <v>3.4000000000000002E-2</v>
      </c>
      <c r="AC163" s="55">
        <v>0.04</v>
      </c>
      <c r="AD163" s="55">
        <v>4.5999999999999999E-2</v>
      </c>
      <c r="AE163" s="55">
        <v>5.1999999999999998E-2</v>
      </c>
      <c r="AF163" s="55">
        <v>5.8000000000000003E-2</v>
      </c>
      <c r="AG163" s="55">
        <v>7.7700000000000005E-2</v>
      </c>
      <c r="AH163" s="55">
        <v>9.74E-2</v>
      </c>
      <c r="AI163" s="55">
        <v>0.1171</v>
      </c>
      <c r="AJ163" s="55">
        <v>0.1368</v>
      </c>
      <c r="AK163" s="55">
        <v>0.1565</v>
      </c>
      <c r="AL163" s="55">
        <v>0.1762</v>
      </c>
      <c r="AM163" s="55">
        <v>0.1978</v>
      </c>
      <c r="AN163" s="55">
        <v>0.19869999999999999</v>
      </c>
      <c r="AO163" s="55">
        <v>0.1996</v>
      </c>
      <c r="AP163" s="55">
        <v>0.2</v>
      </c>
      <c r="AQ163" s="55">
        <v>0.2</v>
      </c>
      <c r="AR163" s="55">
        <v>0.2</v>
      </c>
      <c r="AS163" s="55">
        <v>0.2</v>
      </c>
      <c r="AT163" s="55">
        <v>0.2</v>
      </c>
      <c r="AU163" s="55">
        <v>0.2</v>
      </c>
      <c r="AV163" s="55">
        <v>0.2</v>
      </c>
      <c r="AW163" s="55">
        <v>0.2</v>
      </c>
      <c r="AX163" s="55">
        <v>0.2</v>
      </c>
      <c r="AY163" s="55">
        <v>0.2</v>
      </c>
      <c r="AZ163" s="55">
        <v>0.2</v>
      </c>
      <c r="BA163" s="55">
        <v>0.2</v>
      </c>
      <c r="BB163" s="55">
        <v>0.2</v>
      </c>
      <c r="BC163" s="55">
        <v>0.2</v>
      </c>
      <c r="BD163" s="55">
        <v>0.2</v>
      </c>
      <c r="BE163" s="55">
        <v>0.2</v>
      </c>
    </row>
    <row r="164" spans="2:57" x14ac:dyDescent="0.2">
      <c r="B164" s="22" t="b">
        <v>1</v>
      </c>
      <c r="C164" s="22" t="str">
        <f t="shared" si="2"/>
        <v>WA_Total RPS</v>
      </c>
      <c r="D164" s="60" t="s">
        <v>102</v>
      </c>
      <c r="E164" s="53" t="s">
        <v>128</v>
      </c>
      <c r="F164" s="61" t="s">
        <v>118</v>
      </c>
      <c r="G164" s="54">
        <v>0</v>
      </c>
      <c r="H164" s="54">
        <v>0</v>
      </c>
      <c r="I164" s="54">
        <v>0</v>
      </c>
      <c r="J164" s="54">
        <v>0</v>
      </c>
      <c r="K164" s="54">
        <v>0</v>
      </c>
      <c r="L164" s="54">
        <v>0</v>
      </c>
      <c r="M164" s="54">
        <v>0</v>
      </c>
      <c r="N164" s="54">
        <v>0</v>
      </c>
      <c r="O164" s="54">
        <v>0</v>
      </c>
      <c r="P164" s="54">
        <v>0</v>
      </c>
      <c r="Q164" s="54">
        <v>0</v>
      </c>
      <c r="R164" s="54">
        <v>0</v>
      </c>
      <c r="S164" s="54">
        <v>0.03</v>
      </c>
      <c r="T164" s="54">
        <v>0.03</v>
      </c>
      <c r="U164" s="54">
        <v>0.03</v>
      </c>
      <c r="V164" s="54">
        <v>0.03</v>
      </c>
      <c r="W164" s="54">
        <v>0.09</v>
      </c>
      <c r="X164" s="54">
        <v>0.09</v>
      </c>
      <c r="Y164" s="54">
        <v>0.09</v>
      </c>
      <c r="Z164" s="54">
        <v>0.09</v>
      </c>
      <c r="AA164" s="55">
        <v>0.15</v>
      </c>
      <c r="AB164" s="55">
        <v>0.15</v>
      </c>
      <c r="AC164" s="55">
        <v>0.15</v>
      </c>
      <c r="AD164" s="55">
        <v>0.15</v>
      </c>
      <c r="AE164" s="55">
        <v>0.15</v>
      </c>
      <c r="AF164" s="55">
        <v>0.15</v>
      </c>
      <c r="AG164" s="55">
        <v>0.15</v>
      </c>
      <c r="AH164" s="55">
        <v>0.15</v>
      </c>
      <c r="AI164" s="55">
        <v>0.15</v>
      </c>
      <c r="AJ164" s="55">
        <v>0.15</v>
      </c>
      <c r="AK164" s="55">
        <v>0.15</v>
      </c>
      <c r="AL164" s="55">
        <v>0.15</v>
      </c>
      <c r="AM164" s="55">
        <v>0.15</v>
      </c>
      <c r="AN164" s="55">
        <v>0.15</v>
      </c>
      <c r="AO164" s="55">
        <v>0.15</v>
      </c>
      <c r="AP164" s="55">
        <v>0.15</v>
      </c>
      <c r="AQ164" s="55">
        <v>0.15</v>
      </c>
      <c r="AR164" s="55">
        <v>0.15</v>
      </c>
      <c r="AS164" s="55">
        <v>0.15</v>
      </c>
      <c r="AT164" s="55">
        <v>0.15</v>
      </c>
      <c r="AU164" s="55">
        <v>0.15</v>
      </c>
      <c r="AV164" s="55">
        <v>0.15</v>
      </c>
      <c r="AW164" s="55">
        <v>0.15</v>
      </c>
      <c r="AX164" s="55">
        <v>0.15</v>
      </c>
      <c r="AY164" s="55">
        <v>0.15</v>
      </c>
      <c r="AZ164" s="55">
        <v>0.15</v>
      </c>
      <c r="BA164" s="55">
        <v>0.15</v>
      </c>
      <c r="BB164" s="55">
        <v>0.15</v>
      </c>
      <c r="BC164" s="55">
        <v>0.15</v>
      </c>
      <c r="BD164" s="55">
        <v>0.15</v>
      </c>
      <c r="BE164" s="55">
        <v>0.15</v>
      </c>
    </row>
    <row r="165" spans="2:57" x14ac:dyDescent="0.2">
      <c r="B165" s="22" t="b">
        <v>1</v>
      </c>
      <c r="C165" s="22" t="str">
        <f t="shared" si="2"/>
        <v>WA_Total CES</v>
      </c>
      <c r="D165" s="62" t="s">
        <v>102</v>
      </c>
      <c r="E165" s="58"/>
      <c r="F165" s="61" t="s">
        <v>121</v>
      </c>
      <c r="G165" s="54">
        <v>0</v>
      </c>
      <c r="H165" s="54">
        <v>0</v>
      </c>
      <c r="I165" s="54">
        <v>0</v>
      </c>
      <c r="J165" s="54">
        <v>0</v>
      </c>
      <c r="K165" s="54">
        <v>0</v>
      </c>
      <c r="L165" s="54">
        <v>0</v>
      </c>
      <c r="M165" s="54">
        <v>0</v>
      </c>
      <c r="N165" s="54">
        <v>0</v>
      </c>
      <c r="O165" s="54">
        <v>0</v>
      </c>
      <c r="P165" s="54">
        <v>0</v>
      </c>
      <c r="Q165" s="54">
        <v>0</v>
      </c>
      <c r="R165" s="54">
        <v>0</v>
      </c>
      <c r="S165" s="54">
        <v>0</v>
      </c>
      <c r="T165" s="54">
        <v>0</v>
      </c>
      <c r="U165" s="54">
        <v>0</v>
      </c>
      <c r="V165" s="54">
        <v>0</v>
      </c>
      <c r="W165" s="54">
        <v>0</v>
      </c>
      <c r="X165" s="54">
        <v>0</v>
      </c>
      <c r="Y165" s="54">
        <v>0</v>
      </c>
      <c r="Z165" s="54">
        <v>0</v>
      </c>
      <c r="AA165" s="55">
        <v>0</v>
      </c>
      <c r="AB165" s="55">
        <v>0</v>
      </c>
      <c r="AC165" s="55">
        <v>0</v>
      </c>
      <c r="AD165" s="55">
        <v>0</v>
      </c>
      <c r="AE165" s="55">
        <v>0</v>
      </c>
      <c r="AF165" s="55">
        <v>0</v>
      </c>
      <c r="AG165" s="55">
        <v>0</v>
      </c>
      <c r="AH165" s="55">
        <v>0</v>
      </c>
      <c r="AI165" s="55">
        <v>0</v>
      </c>
      <c r="AJ165" s="55">
        <v>0</v>
      </c>
      <c r="AK165" s="55">
        <v>1</v>
      </c>
      <c r="AL165" s="55">
        <v>1</v>
      </c>
      <c r="AM165" s="55">
        <v>1</v>
      </c>
      <c r="AN165" s="55">
        <v>1</v>
      </c>
      <c r="AO165" s="55">
        <v>1</v>
      </c>
      <c r="AP165" s="55">
        <v>1</v>
      </c>
      <c r="AQ165" s="55">
        <v>1</v>
      </c>
      <c r="AR165" s="55">
        <v>1</v>
      </c>
      <c r="AS165" s="55">
        <v>1</v>
      </c>
      <c r="AT165" s="55">
        <v>1</v>
      </c>
      <c r="AU165" s="55">
        <v>1</v>
      </c>
      <c r="AV165" s="55">
        <v>1</v>
      </c>
      <c r="AW165" s="55">
        <v>1</v>
      </c>
      <c r="AX165" s="55">
        <v>1</v>
      </c>
      <c r="AY165" s="55">
        <v>1</v>
      </c>
      <c r="AZ165" s="55">
        <v>1</v>
      </c>
      <c r="BA165" s="55">
        <v>1</v>
      </c>
      <c r="BB165" s="55">
        <v>1</v>
      </c>
      <c r="BC165" s="55">
        <v>1</v>
      </c>
      <c r="BD165" s="55">
        <v>1</v>
      </c>
      <c r="BE165" s="55">
        <v>1</v>
      </c>
    </row>
    <row r="166" spans="2:57" x14ac:dyDescent="0.2">
      <c r="B166" s="22" t="b">
        <v>1</v>
      </c>
      <c r="C166" s="22" t="str">
        <f t="shared" si="2"/>
        <v>WI_Total RPS</v>
      </c>
      <c r="D166" s="56" t="s">
        <v>106</v>
      </c>
      <c r="E166" s="56" t="s">
        <v>128</v>
      </c>
      <c r="F166" s="58" t="s">
        <v>118</v>
      </c>
      <c r="G166" s="54">
        <v>0</v>
      </c>
      <c r="H166" s="54">
        <v>0</v>
      </c>
      <c r="I166" s="54">
        <v>0</v>
      </c>
      <c r="J166" s="54">
        <v>0</v>
      </c>
      <c r="K166" s="54">
        <v>0</v>
      </c>
      <c r="L166" s="54">
        <v>0</v>
      </c>
      <c r="M166" s="54">
        <v>0.04</v>
      </c>
      <c r="N166" s="54">
        <v>0.04</v>
      </c>
      <c r="O166" s="54">
        <v>0.04</v>
      </c>
      <c r="P166" s="54">
        <v>0.04</v>
      </c>
      <c r="Q166" s="54">
        <v>0.06</v>
      </c>
      <c r="R166" s="54">
        <v>0.06</v>
      </c>
      <c r="S166" s="54">
        <v>0.06</v>
      </c>
      <c r="T166" s="54">
        <v>0.06</v>
      </c>
      <c r="U166" s="54">
        <v>0.06</v>
      </c>
      <c r="V166" s="54">
        <v>0.1</v>
      </c>
      <c r="W166" s="54">
        <v>0.1</v>
      </c>
      <c r="X166" s="54">
        <v>0.1</v>
      </c>
      <c r="Y166" s="54">
        <v>0.1</v>
      </c>
      <c r="Z166" s="54">
        <v>0.1</v>
      </c>
      <c r="AA166" s="55">
        <v>0.1</v>
      </c>
      <c r="AB166" s="55">
        <v>0.1</v>
      </c>
      <c r="AC166" s="55">
        <v>0.1</v>
      </c>
      <c r="AD166" s="55">
        <v>0.1</v>
      </c>
      <c r="AE166" s="55">
        <v>0.1</v>
      </c>
      <c r="AF166" s="55">
        <v>0.1</v>
      </c>
      <c r="AG166" s="55">
        <v>0.1</v>
      </c>
      <c r="AH166" s="55">
        <v>0.1</v>
      </c>
      <c r="AI166" s="55">
        <v>0.1</v>
      </c>
      <c r="AJ166" s="55">
        <v>0.1</v>
      </c>
      <c r="AK166" s="55">
        <v>0.1</v>
      </c>
      <c r="AL166" s="55">
        <v>0.1</v>
      </c>
      <c r="AM166" s="55">
        <v>0.1</v>
      </c>
      <c r="AN166" s="55">
        <v>0.1</v>
      </c>
      <c r="AO166" s="55">
        <v>0.1</v>
      </c>
      <c r="AP166" s="55">
        <v>0.1</v>
      </c>
      <c r="AQ166" s="55">
        <v>0.1</v>
      </c>
      <c r="AR166" s="55">
        <v>0.1</v>
      </c>
      <c r="AS166" s="55">
        <v>0.1</v>
      </c>
      <c r="AT166" s="55">
        <v>0.1</v>
      </c>
      <c r="AU166" s="55">
        <v>0.1</v>
      </c>
      <c r="AV166" s="55">
        <v>0.1</v>
      </c>
      <c r="AW166" s="55">
        <v>0.1</v>
      </c>
      <c r="AX166" s="55">
        <v>0.1</v>
      </c>
      <c r="AY166" s="55">
        <v>0.1</v>
      </c>
      <c r="AZ166" s="55">
        <v>0.1</v>
      </c>
      <c r="BA166" s="55">
        <v>0.1</v>
      </c>
      <c r="BB166" s="55">
        <v>0.1</v>
      </c>
      <c r="BC166" s="55">
        <v>0.1</v>
      </c>
      <c r="BD166" s="55">
        <v>0.1</v>
      </c>
      <c r="BE166" s="55">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9855B-198E-4149-AF84-A42B1673538B}">
  <dimension ref="A1:F54"/>
  <sheetViews>
    <sheetView workbookViewId="0">
      <selection activeCell="C9" sqref="C1:C1048576"/>
    </sheetView>
  </sheetViews>
  <sheetFormatPr defaultRowHeight="15" x14ac:dyDescent="0.25"/>
  <cols>
    <col min="1" max="1" width="11.42578125" customWidth="1"/>
    <col min="2" max="2" width="12" customWidth="1"/>
    <col min="5" max="5" width="9.140625" customWidth="1"/>
    <col min="8" max="8" width="18.42578125" customWidth="1"/>
    <col min="10" max="10" width="9.140625" customWidth="1"/>
  </cols>
  <sheetData>
    <row r="1" spans="1:6" x14ac:dyDescent="0.25">
      <c r="C1" s="1" t="s">
        <v>196</v>
      </c>
    </row>
    <row r="2" spans="1:6" x14ac:dyDescent="0.25">
      <c r="A2" s="1" t="s">
        <v>114</v>
      </c>
      <c r="B2" s="1" t="s">
        <v>230</v>
      </c>
      <c r="C2" s="1" t="s">
        <v>2</v>
      </c>
      <c r="D2" s="1" t="s">
        <v>197</v>
      </c>
      <c r="E2" s="1" t="s">
        <v>239</v>
      </c>
      <c r="F2" s="1"/>
    </row>
    <row r="3" spans="1:6" x14ac:dyDescent="0.25">
      <c r="A3" s="3" t="s">
        <v>9</v>
      </c>
      <c r="B3" s="36" t="s">
        <v>10</v>
      </c>
      <c r="C3">
        <v>132.71339839999999</v>
      </c>
      <c r="D3" t="s">
        <v>261</v>
      </c>
    </row>
    <row r="4" spans="1:6" x14ac:dyDescent="0.25">
      <c r="A4" s="3" t="s">
        <v>11</v>
      </c>
      <c r="B4" s="36" t="s">
        <v>12</v>
      </c>
      <c r="C4">
        <v>132.71339839999999</v>
      </c>
      <c r="D4" t="s">
        <v>261</v>
      </c>
    </row>
    <row r="5" spans="1:6" x14ac:dyDescent="0.25">
      <c r="A5" s="3" t="s">
        <v>13</v>
      </c>
      <c r="B5" s="36" t="s">
        <v>14</v>
      </c>
      <c r="C5">
        <v>132.71339839999999</v>
      </c>
    </row>
    <row r="6" spans="1:6" x14ac:dyDescent="0.25">
      <c r="A6" s="3" t="s">
        <v>15</v>
      </c>
      <c r="B6" s="36" t="s">
        <v>16</v>
      </c>
      <c r="C6">
        <v>132.71339839999999</v>
      </c>
      <c r="D6" t="s">
        <v>261</v>
      </c>
    </row>
    <row r="7" spans="1:6" x14ac:dyDescent="0.25">
      <c r="A7" s="3" t="s">
        <v>17</v>
      </c>
      <c r="B7" s="36" t="s">
        <v>18</v>
      </c>
      <c r="C7">
        <v>132.71339839999999</v>
      </c>
      <c r="E7" s="41" t="s">
        <v>240</v>
      </c>
    </row>
    <row r="8" spans="1:6" x14ac:dyDescent="0.25">
      <c r="A8" s="3" t="s">
        <v>19</v>
      </c>
      <c r="B8" s="36" t="s">
        <v>20</v>
      </c>
      <c r="C8">
        <v>132.71339839999999</v>
      </c>
    </row>
    <row r="9" spans="1:6" x14ac:dyDescent="0.25">
      <c r="A9" s="3" t="s">
        <v>21</v>
      </c>
      <c r="B9" s="36" t="s">
        <v>22</v>
      </c>
      <c r="C9">
        <v>55.15</v>
      </c>
      <c r="D9" t="s">
        <v>241</v>
      </c>
    </row>
    <row r="10" spans="1:6" x14ac:dyDescent="0.25">
      <c r="A10" s="3" t="s">
        <v>23</v>
      </c>
      <c r="B10" s="36" t="s">
        <v>24</v>
      </c>
      <c r="C10">
        <v>25</v>
      </c>
      <c r="D10" t="s">
        <v>242</v>
      </c>
    </row>
    <row r="11" spans="1:6" x14ac:dyDescent="0.25">
      <c r="A11" s="3" t="s">
        <v>25</v>
      </c>
      <c r="B11" s="36" t="s">
        <v>26</v>
      </c>
      <c r="C11">
        <v>132.71339839999999</v>
      </c>
      <c r="D11" t="s">
        <v>261</v>
      </c>
    </row>
    <row r="12" spans="1:6" x14ac:dyDescent="0.25">
      <c r="A12" s="3" t="s">
        <v>27</v>
      </c>
      <c r="B12" s="36" t="s">
        <v>28</v>
      </c>
      <c r="C12">
        <v>132.71339839999999</v>
      </c>
      <c r="D12" t="s">
        <v>261</v>
      </c>
    </row>
    <row r="13" spans="1:6" x14ac:dyDescent="0.25">
      <c r="A13" s="3" t="s">
        <v>29</v>
      </c>
      <c r="B13" s="36" t="s">
        <v>30</v>
      </c>
      <c r="C13">
        <v>132.71339839999999</v>
      </c>
    </row>
    <row r="14" spans="1:6" x14ac:dyDescent="0.25">
      <c r="A14" s="3" t="s">
        <v>31</v>
      </c>
      <c r="B14" s="36" t="s">
        <v>32</v>
      </c>
      <c r="C14">
        <v>132.71339839999999</v>
      </c>
      <c r="D14" t="s">
        <v>261</v>
      </c>
    </row>
    <row r="15" spans="1:6" x14ac:dyDescent="0.25">
      <c r="A15" s="3" t="s">
        <v>33</v>
      </c>
      <c r="B15" s="36" t="s">
        <v>34</v>
      </c>
      <c r="C15">
        <v>132.71339839999999</v>
      </c>
      <c r="E15" s="42" t="s">
        <v>243</v>
      </c>
    </row>
    <row r="16" spans="1:6" x14ac:dyDescent="0.25">
      <c r="A16" s="3" t="s">
        <v>35</v>
      </c>
      <c r="B16" s="36" t="s">
        <v>36</v>
      </c>
      <c r="C16">
        <v>132.71339839999999</v>
      </c>
      <c r="D16" t="s">
        <v>261</v>
      </c>
    </row>
    <row r="17" spans="1:4" x14ac:dyDescent="0.25">
      <c r="A17" s="3" t="s">
        <v>37</v>
      </c>
      <c r="B17" s="36" t="s">
        <v>38</v>
      </c>
      <c r="C17">
        <v>132.71339839999999</v>
      </c>
    </row>
    <row r="18" spans="1:4" x14ac:dyDescent="0.25">
      <c r="A18" s="3" t="s">
        <v>39</v>
      </c>
      <c r="B18" s="36" t="s">
        <v>40</v>
      </c>
      <c r="C18">
        <v>132.71339839999999</v>
      </c>
    </row>
    <row r="19" spans="1:4" x14ac:dyDescent="0.25">
      <c r="A19" s="3" t="s">
        <v>41</v>
      </c>
      <c r="B19" s="36" t="s">
        <v>42</v>
      </c>
      <c r="C19">
        <v>132.71339839999999</v>
      </c>
      <c r="D19" t="s">
        <v>261</v>
      </c>
    </row>
    <row r="20" spans="1:4" x14ac:dyDescent="0.25">
      <c r="A20" s="3" t="s">
        <v>43</v>
      </c>
      <c r="B20" s="36" t="s">
        <v>44</v>
      </c>
      <c r="C20">
        <v>132.71339839999999</v>
      </c>
      <c r="D20" t="s">
        <v>261</v>
      </c>
    </row>
    <row r="21" spans="1:4" x14ac:dyDescent="0.25">
      <c r="A21" s="3" t="s">
        <v>45</v>
      </c>
      <c r="B21" s="36" t="s">
        <v>46</v>
      </c>
      <c r="C21">
        <v>50</v>
      </c>
      <c r="D21" t="s">
        <v>246</v>
      </c>
    </row>
    <row r="22" spans="1:4" x14ac:dyDescent="0.25">
      <c r="A22" s="3" t="s">
        <v>47</v>
      </c>
      <c r="B22" s="36" t="s">
        <v>48</v>
      </c>
      <c r="C22">
        <v>30</v>
      </c>
      <c r="D22" t="s">
        <v>244</v>
      </c>
    </row>
    <row r="23" spans="1:4" x14ac:dyDescent="0.25">
      <c r="A23" s="3" t="s">
        <v>49</v>
      </c>
      <c r="B23" s="36" t="s">
        <v>50</v>
      </c>
      <c r="C23">
        <v>35</v>
      </c>
      <c r="D23" t="s">
        <v>245</v>
      </c>
    </row>
    <row r="24" spans="1:4" x14ac:dyDescent="0.25">
      <c r="A24" s="3" t="s">
        <v>51</v>
      </c>
      <c r="B24" s="36" t="s">
        <v>52</v>
      </c>
      <c r="C24">
        <v>132.71339839999999</v>
      </c>
    </row>
    <row r="25" spans="1:4" x14ac:dyDescent="0.25">
      <c r="A25" s="3" t="s">
        <v>53</v>
      </c>
      <c r="B25" s="36" t="s">
        <v>54</v>
      </c>
      <c r="C25">
        <v>132.71339839999999</v>
      </c>
    </row>
    <row r="26" spans="1:4" x14ac:dyDescent="0.25">
      <c r="A26" s="3" t="s">
        <v>55</v>
      </c>
      <c r="B26" s="36" t="s">
        <v>56</v>
      </c>
      <c r="C26">
        <v>132.71339839999999</v>
      </c>
      <c r="D26" t="s">
        <v>261</v>
      </c>
    </row>
    <row r="27" spans="1:4" x14ac:dyDescent="0.25">
      <c r="A27" s="3" t="s">
        <v>57</v>
      </c>
      <c r="B27" s="36" t="s">
        <v>58</v>
      </c>
      <c r="C27">
        <v>132.71339839999999</v>
      </c>
    </row>
    <row r="28" spans="1:4" x14ac:dyDescent="0.25">
      <c r="A28" s="3" t="s">
        <v>59</v>
      </c>
      <c r="B28" s="36" t="s">
        <v>60</v>
      </c>
      <c r="C28">
        <v>10</v>
      </c>
      <c r="D28" t="s">
        <v>247</v>
      </c>
    </row>
    <row r="29" spans="1:4" x14ac:dyDescent="0.25">
      <c r="A29" s="3" t="s">
        <v>61</v>
      </c>
      <c r="B29" s="36" t="s">
        <v>62</v>
      </c>
      <c r="C29">
        <v>132.71339839999999</v>
      </c>
    </row>
    <row r="30" spans="1:4" x14ac:dyDescent="0.25">
      <c r="A30" s="3" t="s">
        <v>63</v>
      </c>
      <c r="B30" s="36" t="s">
        <v>64</v>
      </c>
      <c r="C30">
        <v>132.71339839999999</v>
      </c>
    </row>
    <row r="31" spans="1:4" x14ac:dyDescent="0.25">
      <c r="A31" s="3" t="s">
        <v>65</v>
      </c>
      <c r="B31" s="36" t="s">
        <v>66</v>
      </c>
      <c r="C31">
        <v>61.18</v>
      </c>
      <c r="D31" t="s">
        <v>248</v>
      </c>
    </row>
    <row r="32" spans="1:4" x14ac:dyDescent="0.25">
      <c r="A32" s="3" t="s">
        <v>67</v>
      </c>
      <c r="B32" s="36" t="s">
        <v>68</v>
      </c>
      <c r="C32">
        <v>50</v>
      </c>
      <c r="D32" t="s">
        <v>249</v>
      </c>
    </row>
    <row r="33" spans="1:5" x14ac:dyDescent="0.25">
      <c r="A33" s="3" t="s">
        <v>69</v>
      </c>
      <c r="B33" s="36" t="s">
        <v>70</v>
      </c>
      <c r="C33">
        <v>132.71339839999999</v>
      </c>
    </row>
    <row r="34" spans="1:5" x14ac:dyDescent="0.25">
      <c r="A34" s="3" t="s">
        <v>71</v>
      </c>
      <c r="B34" s="36" t="s">
        <v>72</v>
      </c>
      <c r="C34">
        <v>45</v>
      </c>
      <c r="D34" t="s">
        <v>250</v>
      </c>
    </row>
    <row r="35" spans="1:5" x14ac:dyDescent="0.25">
      <c r="A35" s="3" t="s">
        <v>73</v>
      </c>
      <c r="B35" s="36" t="s">
        <v>74</v>
      </c>
      <c r="C35">
        <v>132.71339839999999</v>
      </c>
      <c r="D35" t="s">
        <v>252</v>
      </c>
      <c r="E35" s="43" t="s">
        <v>251</v>
      </c>
    </row>
    <row r="36" spans="1:5" x14ac:dyDescent="0.25">
      <c r="A36" s="3" t="s">
        <v>75</v>
      </c>
      <c r="B36" s="36" t="s">
        <v>76</v>
      </c>
      <c r="C36">
        <v>132.71339839999999</v>
      </c>
      <c r="D36" t="s">
        <v>261</v>
      </c>
    </row>
    <row r="37" spans="1:5" x14ac:dyDescent="0.25">
      <c r="A37" s="3" t="s">
        <v>77</v>
      </c>
      <c r="B37" s="36" t="s">
        <v>78</v>
      </c>
      <c r="C37">
        <v>45</v>
      </c>
      <c r="D37" t="s">
        <v>253</v>
      </c>
    </row>
    <row r="38" spans="1:5" x14ac:dyDescent="0.25">
      <c r="A38" s="3" t="s">
        <v>79</v>
      </c>
      <c r="B38" s="36" t="s">
        <v>80</v>
      </c>
      <c r="C38">
        <v>132.71339839999999</v>
      </c>
      <c r="D38" t="s">
        <v>261</v>
      </c>
    </row>
    <row r="39" spans="1:5" x14ac:dyDescent="0.25">
      <c r="A39" s="3" t="s">
        <v>81</v>
      </c>
      <c r="B39" s="36" t="s">
        <v>82</v>
      </c>
      <c r="C39">
        <v>110</v>
      </c>
      <c r="D39" t="s">
        <v>255</v>
      </c>
      <c r="E39" s="41" t="s">
        <v>254</v>
      </c>
    </row>
    <row r="40" spans="1:5" x14ac:dyDescent="0.25">
      <c r="A40" s="3" t="s">
        <v>83</v>
      </c>
      <c r="B40" s="36" t="s">
        <v>84</v>
      </c>
      <c r="C40">
        <v>132.71339839999999</v>
      </c>
    </row>
    <row r="41" spans="1:5" x14ac:dyDescent="0.25">
      <c r="A41" s="3" t="s">
        <v>85</v>
      </c>
      <c r="B41" s="36" t="s">
        <v>86</v>
      </c>
      <c r="C41" s="44">
        <v>67.069999999999993</v>
      </c>
      <c r="D41" t="s">
        <v>256</v>
      </c>
    </row>
    <row r="42" spans="1:5" x14ac:dyDescent="0.25">
      <c r="A42" s="3" t="s">
        <v>87</v>
      </c>
      <c r="B42" s="36" t="s">
        <v>88</v>
      </c>
      <c r="C42">
        <v>132.71339839999999</v>
      </c>
      <c r="D42" t="s">
        <v>261</v>
      </c>
    </row>
    <row r="43" spans="1:5" x14ac:dyDescent="0.25">
      <c r="A43" s="3" t="s">
        <v>89</v>
      </c>
      <c r="B43" s="36" t="s">
        <v>90</v>
      </c>
      <c r="C43">
        <v>132.71339839999999</v>
      </c>
      <c r="D43" t="s">
        <v>261</v>
      </c>
    </row>
    <row r="44" spans="1:5" x14ac:dyDescent="0.25">
      <c r="A44" s="3" t="s">
        <v>91</v>
      </c>
      <c r="B44" s="36" t="s">
        <v>92</v>
      </c>
      <c r="C44">
        <v>132.71339839999999</v>
      </c>
      <c r="D44" t="s">
        <v>261</v>
      </c>
    </row>
    <row r="45" spans="1:5" x14ac:dyDescent="0.25">
      <c r="A45" s="3" t="s">
        <v>93</v>
      </c>
      <c r="B45" s="36" t="s">
        <v>94</v>
      </c>
      <c r="C45">
        <v>132.71339839999999</v>
      </c>
      <c r="E45" t="s">
        <v>257</v>
      </c>
    </row>
    <row r="46" spans="1:5" x14ac:dyDescent="0.25">
      <c r="A46" s="3" t="s">
        <v>95</v>
      </c>
      <c r="B46" s="36" t="s">
        <v>96</v>
      </c>
      <c r="C46">
        <v>132.71339839999999</v>
      </c>
      <c r="D46" t="s">
        <v>261</v>
      </c>
    </row>
    <row r="47" spans="1:5" x14ac:dyDescent="0.25">
      <c r="A47" s="3" t="s">
        <v>97</v>
      </c>
      <c r="B47" s="36" t="s">
        <v>98</v>
      </c>
      <c r="C47">
        <v>12.28</v>
      </c>
      <c r="D47" t="s">
        <v>258</v>
      </c>
    </row>
    <row r="48" spans="1:5" x14ac:dyDescent="0.25">
      <c r="A48" s="3" t="s">
        <v>99</v>
      </c>
      <c r="B48" s="36" t="s">
        <v>100</v>
      </c>
      <c r="C48">
        <v>132.71339839999999</v>
      </c>
    </row>
    <row r="49" spans="1:5" x14ac:dyDescent="0.25">
      <c r="A49" s="3" t="s">
        <v>101</v>
      </c>
      <c r="B49" s="36" t="s">
        <v>102</v>
      </c>
      <c r="C49">
        <v>50</v>
      </c>
      <c r="D49" t="s">
        <v>259</v>
      </c>
    </row>
    <row r="50" spans="1:5" x14ac:dyDescent="0.25">
      <c r="A50" s="3" t="s">
        <v>103</v>
      </c>
      <c r="B50" s="36" t="s">
        <v>104</v>
      </c>
      <c r="C50">
        <v>132.71339839999999</v>
      </c>
      <c r="D50" t="s">
        <v>261</v>
      </c>
    </row>
    <row r="51" spans="1:5" x14ac:dyDescent="0.25">
      <c r="A51" s="3" t="s">
        <v>105</v>
      </c>
      <c r="B51" s="36" t="s">
        <v>106</v>
      </c>
      <c r="C51">
        <v>132.71339839999999</v>
      </c>
      <c r="E51" t="s">
        <v>260</v>
      </c>
    </row>
    <row r="52" spans="1:5" x14ac:dyDescent="0.25">
      <c r="A52" s="3" t="s">
        <v>107</v>
      </c>
      <c r="B52" s="36" t="s">
        <v>108</v>
      </c>
      <c r="C52">
        <v>132.71339839999999</v>
      </c>
      <c r="D52" t="s">
        <v>261</v>
      </c>
    </row>
    <row r="54" spans="1:5" x14ac:dyDescent="0.25">
      <c r="B54" s="43"/>
    </row>
  </sheetData>
  <autoFilter ref="A2:G52" xr:uid="{5539855B-198E-4149-AF84-A42B1673538B}"/>
  <conditionalFormatting sqref="A1:A1048576">
    <cfRule type="duplicateValues" dxfId="0" priority="1"/>
  </conditionalFormatting>
  <hyperlinks>
    <hyperlink ref="E15" r:id="rId1" display="https://www.icc.illinois.gov/electricity/RenewablePortfolioStandards.aspx" xr:uid="{3B1EBDD6-DA42-4F56-8D70-91F0ED9D694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F29F7-2B24-4039-8819-EA8032B408B0}">
  <sheetPr>
    <tabColor theme="4" tint="-0.499984740745262"/>
  </sheetPr>
  <dimension ref="A1:B3"/>
  <sheetViews>
    <sheetView workbookViewId="0">
      <selection activeCell="B2" sqref="B2"/>
    </sheetView>
  </sheetViews>
  <sheetFormatPr defaultRowHeight="15" x14ac:dyDescent="0.25"/>
  <sheetData>
    <row r="1" spans="1:2" x14ac:dyDescent="0.25">
      <c r="A1" t="s">
        <v>3</v>
      </c>
      <c r="B1" s="37"/>
    </row>
    <row r="2" spans="1:2" x14ac:dyDescent="0.25">
      <c r="A2" t="s">
        <v>2</v>
      </c>
      <c r="B2" s="39">
        <f>ROUND(SUMIFS('ACP by State'!$C:$C,'ACP by State'!$B:$B,About!$B$2)*About!B60,0)</f>
        <v>9</v>
      </c>
    </row>
    <row r="3" spans="1:2" x14ac:dyDescent="0.2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8FCF-EECC-4590-88B0-D6C265A323D8}">
  <sheetPr>
    <tabColor theme="4" tint="-0.499984740745262"/>
  </sheetPr>
  <dimension ref="A1:B2"/>
  <sheetViews>
    <sheetView tabSelected="1" workbookViewId="0">
      <selection activeCell="B2" sqref="B2"/>
    </sheetView>
  </sheetViews>
  <sheetFormatPr defaultRowHeight="15" x14ac:dyDescent="0.25"/>
  <sheetData>
    <row r="1" spans="1:2" x14ac:dyDescent="0.25">
      <c r="A1" t="s">
        <v>3</v>
      </c>
    </row>
    <row r="2" spans="1:2" x14ac:dyDescent="0.25">
      <c r="A2" t="s">
        <v>2</v>
      </c>
      <c r="B2">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2025-03-26T19:47:27Z</dcterms:modified>
</cp:coreProperties>
</file>