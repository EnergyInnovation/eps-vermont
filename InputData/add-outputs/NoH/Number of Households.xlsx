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VT\add-outputs\NoH\"/>
    </mc:Choice>
  </mc:AlternateContent>
  <xr:revisionPtr revIDLastSave="0" documentId="8_{3FAD7739-231C-432B-8021-13928B80E5F0}"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D2" i="3"/>
  <c r="Z2" i="3"/>
  <c r="E2" i="3"/>
  <c r="AA2" i="3"/>
  <c r="F2" i="3"/>
  <c r="AB2" i="3"/>
  <c r="B2" i="3"/>
  <c r="G2" i="3"/>
  <c r="AC2" i="3"/>
  <c r="J2" i="3"/>
  <c r="H2" i="3"/>
  <c r="AD2" i="3"/>
  <c r="R2" i="3"/>
  <c r="T2" i="3"/>
  <c r="I2" i="3"/>
  <c r="AE2" i="3"/>
  <c r="K2" i="3"/>
  <c r="L2" i="3"/>
  <c r="M2" i="3"/>
  <c r="N2" i="3"/>
  <c r="U2" i="3"/>
  <c r="O2" i="3"/>
  <c r="P2" i="3"/>
  <c r="Q2" i="3"/>
  <c r="V2" i="3"/>
  <c r="W2" i="3"/>
  <c r="S2" i="3"/>
  <c r="X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<sst xmlns="http://schemas.openxmlformats.org/spreadsheetml/2006/main" count="1069" uniqueCount="448">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</sst>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416</v>
      </c>
      <c r="C1" s="68">
        <v>46185</v>
      </c>
      <c r="H1" t="s">
        <v>324</v>
      </c>
      <c r="I1" t="s">
        <v>325</v>
      </c>
    </row>
    <row r="2" spans="1:9" x14ac:dyDescent="0.25">
      <c r="B2" t="str">
        <f>VLOOKUP(B1,H2:I52,2)</f>
        <v>VT</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294896.232548206</v>
      </c>
      <c r="C2">
        <f>SUMIFS('state calcs'!C62:C112,'state calcs'!$A$62:$A$112,About!$B$2)</f>
        <v>298498.50147290656</v>
      </c>
      <c r="D2">
        <f>SUMIFS('state calcs'!D62:D112,'state calcs'!$A$62:$A$112,About!$B$2)</f>
        <v>300322.00184052973</v>
      </c>
      <c r="E2">
        <f>SUMIFS('state calcs'!E62:E112,'state calcs'!$A$62:$A$112,About!$B$2)</f>
        <v>302142.4660403654</v>
      </c>
      <c r="F2">
        <f>SUMIFS('state calcs'!F62:F112,'state calcs'!$A$62:$A$112,About!$B$2)</f>
        <v>304017.90151592629</v>
      </c>
      <c r="G2">
        <f>SUMIFS('state calcs'!G62:G112,'state calcs'!$A$62:$A$112,About!$B$2)</f>
        <v>305877.24379954248</v>
      </c>
      <c r="H2">
        <f>SUMIFS('state calcs'!H62:H112,'state calcs'!$A$62:$A$112,About!$B$2)</f>
        <v>307742.49092426361</v>
      </c>
      <c r="I2">
        <f>SUMIFS('state calcs'!I62:I112,'state calcs'!$A$62:$A$112,About!$B$2)</f>
        <v>309619.28851899295</v>
      </c>
      <c r="J2">
        <f>SUMIFS('state calcs'!J62:J112,'state calcs'!$A$62:$A$112,About!$B$2)</f>
        <v>311466.44289584697</v>
      </c>
      <c r="K2">
        <f>SUMIFS('state calcs'!K62:K112,'state calcs'!$A$62:$A$112,About!$B$2)</f>
        <v>313234.46896454692</v>
      </c>
      <c r="L2">
        <f>SUMIFS('state calcs'!L62:L112,'state calcs'!$A$62:$A$112,About!$B$2)</f>
        <v>314445.23399465869</v>
      </c>
      <c r="M2">
        <f>SUMIFS('state calcs'!M62:M112,'state calcs'!$A$62:$A$112,About!$B$2)</f>
        <v>315621.61410470831</v>
      </c>
      <c r="N2">
        <f>SUMIFS('state calcs'!N62:N112,'state calcs'!$A$62:$A$112,About!$B$2)</f>
        <v>316726.5233899196</v>
      </c>
      <c r="O2">
        <f>SUMIFS('state calcs'!O62:O112,'state calcs'!$A$62:$A$112,About!$B$2)</f>
        <v>317737.83224895207</v>
      </c>
      <c r="P2">
        <f>SUMIFS('state calcs'!P62:P112,'state calcs'!$A$62:$A$112,About!$B$2)</f>
        <v>318702.43959222629</v>
      </c>
      <c r="Q2">
        <f>SUMIFS('state calcs'!Q62:Q112,'state calcs'!$A$62:$A$112,About!$B$2)</f>
        <v>319657.81373370031</v>
      </c>
      <c r="R2">
        <f>SUMIFS('state calcs'!R62:R112,'state calcs'!$A$62:$A$112,About!$B$2)</f>
        <v>320585.14928786474</v>
      </c>
      <c r="S2">
        <f>SUMIFS('state calcs'!S62:S112,'state calcs'!$A$62:$A$112,About!$B$2)</f>
        <v>321490.10128157208</v>
      </c>
      <c r="T2">
        <f>SUMIFS('state calcs'!T62:T112,'state calcs'!$A$62:$A$112,About!$B$2)</f>
        <v>322365.63207748363</v>
      </c>
      <c r="U2">
        <f>SUMIFS('state calcs'!U62:U112,'state calcs'!$A$62:$A$112,About!$B$2)</f>
        <v>323255.82580719504</v>
      </c>
      <c r="V2">
        <f>SUMIFS('state calcs'!V62:V112,'state calcs'!$A$62:$A$112,About!$B$2)</f>
        <v>324044.12989461183</v>
      </c>
      <c r="W2">
        <f>SUMIFS('state calcs'!W62:W112,'state calcs'!$A$62:$A$112,About!$B$2)</f>
        <v>324781.9933369559</v>
      </c>
      <c r="X2">
        <f>SUMIFS('state calcs'!X62:X112,'state calcs'!$A$62:$A$112,About!$B$2)</f>
        <v>325487.47940566239</v>
      </c>
      <c r="Y2">
        <f>SUMIFS('state calcs'!Y62:Y112,'state calcs'!$A$62:$A$112,About!$B$2)</f>
        <v>326162.6297682132</v>
      </c>
      <c r="Z2">
        <f>SUMIFS('state calcs'!Z62:Z112,'state calcs'!$A$62:$A$112,About!$B$2)</f>
        <v>326810.11375273333</v>
      </c>
      <c r="AA2">
        <f>SUMIFS('state calcs'!AA62:AA112,'state calcs'!$A$62:$A$112,About!$B$2)</f>
        <v>327422.06993433431</v>
      </c>
      <c r="AB2">
        <f>SUMIFS('state calcs'!AB62:AB112,'state calcs'!$A$62:$A$112,About!$B$2)</f>
        <v>328012.6749856887</v>
      </c>
      <c r="AC2">
        <f>SUMIFS('state calcs'!AC62:AC112,'state calcs'!$A$62:$A$112,About!$B$2)</f>
        <v>328566.84899922705</v>
      </c>
      <c r="AD2">
        <f>SUMIFS('state calcs'!AD62:AD112,'state calcs'!$A$62:$A$112,About!$B$2)</f>
        <v>329082.78249624011</v>
      </c>
      <c r="AE2">
        <f>SUMIFS('state calcs'!AE62:AE112,'state calcs'!$A$62:$A$112,About!$B$2)</f>
        <v>329567.38895767042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2026-06-12T19:30:19Z</dcterms:modified>
</cp:coreProperties>
</file>