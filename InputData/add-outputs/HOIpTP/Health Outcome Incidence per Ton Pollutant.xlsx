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VT\add-outputs\HOIpTP\"/>
    </mc:Choice>
  </mc:AlternateContent>
  <xr:revisionPtr revIDLastSave="0" documentId="8_{DA9AB3FE-28C5-48D8-A6E6-5251175B9EC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F8" i="19"/>
  <c r="B8" i="19"/>
  <c r="L8" i="19" s="1"/>
  <c r="U7" i="19"/>
  <c r="B7" i="19"/>
  <c r="AA7" i="19" s="1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AA3" i="19"/>
  <c r="Z3" i="19"/>
  <c r="B3" i="19"/>
  <c r="AB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T17" i="18"/>
  <c r="R17" i="18"/>
  <c r="N17" i="18"/>
  <c r="M17" i="18"/>
  <c r="B17" i="18"/>
  <c r="X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AA14" i="18"/>
  <c r="U14" i="18"/>
  <c r="R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X8" i="18"/>
  <c r="V8" i="18"/>
  <c r="R8" i="18"/>
  <c r="Q8" i="18"/>
  <c r="M8" i="18"/>
  <c r="F8" i="18"/>
  <c r="E8" i="18"/>
  <c r="B8" i="18"/>
  <c r="AA8" i="18" s="1"/>
  <c r="AB7" i="18"/>
  <c r="H7" i="18"/>
  <c r="D7" i="18"/>
  <c r="C7" i="18"/>
  <c r="B7" i="18"/>
  <c r="AA7" i="18" s="1"/>
  <c r="AA6" i="18"/>
  <c r="X6" i="18"/>
  <c r="O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N3" i="18"/>
  <c r="E3" i="18"/>
  <c r="B3" i="18"/>
  <c r="V2" i="18"/>
  <c r="U2" i="18"/>
  <c r="O2" i="18"/>
  <c r="K2" i="18"/>
  <c r="J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Y17" i="17"/>
  <c r="X17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Y12" i="17"/>
  <c r="T12" i="17"/>
  <c r="S12" i="17"/>
  <c r="R12" i="17"/>
  <c r="J12" i="17"/>
  <c r="H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O8" i="17"/>
  <c r="F8" i="17"/>
  <c r="D8" i="17"/>
  <c r="C8" i="17"/>
  <c r="B8" i="17"/>
  <c r="AB8" i="17" s="1"/>
  <c r="B7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J2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B17" i="16"/>
  <c r="B16" i="16"/>
  <c r="AA15" i="16"/>
  <c r="K15" i="16"/>
  <c r="B15" i="16"/>
  <c r="Y15" i="16" s="1"/>
  <c r="G14" i="16"/>
  <c r="F14" i="16"/>
  <c r="C14" i="16"/>
  <c r="B14" i="16"/>
  <c r="AB14" i="16" s="1"/>
  <c r="X13" i="16"/>
  <c r="W13" i="16"/>
  <c r="D13" i="16"/>
  <c r="B13" i="16"/>
  <c r="J13" i="16" s="1"/>
  <c r="C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V7" i="16"/>
  <c r="T7" i="16"/>
  <c r="S7" i="16"/>
  <c r="R7" i="16"/>
  <c r="M7" i="16"/>
  <c r="L7" i="16"/>
  <c r="H7" i="16"/>
  <c r="G7" i="16"/>
  <c r="F7" i="16"/>
  <c r="E7" i="16"/>
  <c r="D7" i="16"/>
  <c r="C7" i="16"/>
  <c r="B7" i="16"/>
  <c r="Z7" i="16" s="1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A3" i="16"/>
  <c r="X3" i="16"/>
  <c r="R3" i="16"/>
  <c r="O3" i="16"/>
  <c r="C3" i="16"/>
  <c r="B3" i="16"/>
  <c r="AB3" i="16" s="1"/>
  <c r="Y2" i="16"/>
  <c r="T2" i="16"/>
  <c r="Q2" i="16"/>
  <c r="P2" i="16"/>
  <c r="D2" i="16"/>
  <c r="B2" i="16"/>
  <c r="AB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U15" i="15"/>
  <c r="T15" i="15"/>
  <c r="S15" i="15"/>
  <c r="I15" i="15"/>
  <c r="G15" i="15"/>
  <c r="E15" i="15"/>
  <c r="B15" i="15"/>
  <c r="K15" i="15" s="1"/>
  <c r="B14" i="15"/>
  <c r="W13" i="15"/>
  <c r="V13" i="15"/>
  <c r="T13" i="15"/>
  <c r="R13" i="15"/>
  <c r="Q13" i="15"/>
  <c r="N13" i="15"/>
  <c r="M13" i="15"/>
  <c r="L13" i="15"/>
  <c r="H13" i="15"/>
  <c r="G13" i="15"/>
  <c r="F13" i="15"/>
  <c r="E13" i="15"/>
  <c r="C13" i="15"/>
  <c r="B13" i="15"/>
  <c r="P13" i="15" s="1"/>
  <c r="X12" i="15"/>
  <c r="W12" i="15"/>
  <c r="V12" i="15"/>
  <c r="S12" i="15"/>
  <c r="R12" i="15"/>
  <c r="P12" i="15"/>
  <c r="O12" i="15"/>
  <c r="N12" i="15"/>
  <c r="J12" i="15"/>
  <c r="I12" i="15"/>
  <c r="H12" i="15"/>
  <c r="G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AA8" i="15"/>
  <c r="Y8" i="15"/>
  <c r="X8" i="15"/>
  <c r="R8" i="15"/>
  <c r="O8" i="15"/>
  <c r="N8" i="15"/>
  <c r="F8" i="15"/>
  <c r="B8" i="15"/>
  <c r="AB7" i="15"/>
  <c r="AA7" i="15"/>
  <c r="Z7" i="15"/>
  <c r="W7" i="15"/>
  <c r="V7" i="15"/>
  <c r="S7" i="15"/>
  <c r="R7" i="15"/>
  <c r="Q7" i="15"/>
  <c r="P7" i="15"/>
  <c r="O7" i="15"/>
  <c r="N7" i="15"/>
  <c r="L7" i="15"/>
  <c r="K7" i="15"/>
  <c r="J7" i="15"/>
  <c r="I7" i="15"/>
  <c r="H7" i="15"/>
  <c r="G7" i="15"/>
  <c r="F7" i="15"/>
  <c r="E7" i="15"/>
  <c r="D7" i="15"/>
  <c r="C7" i="15"/>
  <c r="B7" i="15"/>
  <c r="X7" i="15" s="1"/>
  <c r="B6" i="15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N3" i="15"/>
  <c r="C3" i="15"/>
  <c r="B3" i="15"/>
  <c r="AB2" i="15"/>
  <c r="Z2" i="15"/>
  <c r="Y2" i="15"/>
  <c r="S2" i="15"/>
  <c r="R2" i="15"/>
  <c r="Q2" i="15"/>
  <c r="P2" i="15"/>
  <c r="O2" i="15"/>
  <c r="N2" i="15"/>
  <c r="L2" i="15"/>
  <c r="K2" i="15"/>
  <c r="J2" i="15"/>
  <c r="G2" i="15"/>
  <c r="F2" i="15"/>
  <c r="E2" i="15"/>
  <c r="D2" i="15"/>
  <c r="C2" i="15"/>
  <c r="B2" i="15"/>
  <c r="X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AA15" i="14"/>
  <c r="W15" i="14"/>
  <c r="U15" i="14"/>
  <c r="T15" i="14"/>
  <c r="S15" i="14"/>
  <c r="F15" i="14"/>
  <c r="B15" i="14"/>
  <c r="Y15" i="14" s="1"/>
  <c r="B14" i="14"/>
  <c r="X13" i="14"/>
  <c r="Q13" i="14"/>
  <c r="N13" i="14"/>
  <c r="K13" i="14"/>
  <c r="G13" i="14"/>
  <c r="E13" i="14"/>
  <c r="B13" i="14"/>
  <c r="AB13" i="14" s="1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X7" i="14"/>
  <c r="W7" i="14"/>
  <c r="V7" i="14"/>
  <c r="S7" i="14"/>
  <c r="R7" i="14"/>
  <c r="P7" i="14"/>
  <c r="O7" i="14"/>
  <c r="N7" i="14"/>
  <c r="M7" i="14"/>
  <c r="L7" i="14"/>
  <c r="K7" i="14"/>
  <c r="I7" i="14"/>
  <c r="H7" i="14"/>
  <c r="G7" i="14"/>
  <c r="E7" i="14"/>
  <c r="D7" i="14"/>
  <c r="C7" i="14"/>
  <c r="B7" i="14"/>
  <c r="Z7" i="14" s="1"/>
  <c r="Z6" i="14"/>
  <c r="R6" i="14"/>
  <c r="Q6" i="14"/>
  <c r="O6" i="14"/>
  <c r="M6" i="14"/>
  <c r="L6" i="14"/>
  <c r="K6" i="14"/>
  <c r="H6" i="14"/>
  <c r="G6" i="14"/>
  <c r="F6" i="14"/>
  <c r="B6" i="14"/>
  <c r="AA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Z3" i="14"/>
  <c r="Y3" i="14"/>
  <c r="W3" i="14"/>
  <c r="V3" i="14"/>
  <c r="U3" i="14"/>
  <c r="T3" i="14"/>
  <c r="S3" i="14"/>
  <c r="P3" i="14"/>
  <c r="M3" i="14"/>
  <c r="L3" i="14"/>
  <c r="K3" i="14"/>
  <c r="G3" i="14"/>
  <c r="F3" i="14"/>
  <c r="E3" i="14"/>
  <c r="D3" i="14"/>
  <c r="C3" i="14"/>
  <c r="B3" i="14"/>
  <c r="N3" i="14" s="1"/>
  <c r="AB2" i="14"/>
  <c r="AA2" i="14"/>
  <c r="Z2" i="14"/>
  <c r="X2" i="14"/>
  <c r="V2" i="14"/>
  <c r="U2" i="14"/>
  <c r="R2" i="14"/>
  <c r="P2" i="14"/>
  <c r="O2" i="14"/>
  <c r="L2" i="14"/>
  <c r="G2" i="14"/>
  <c r="F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C17" i="13"/>
  <c r="B17" i="13"/>
  <c r="U16" i="13"/>
  <c r="T16" i="13"/>
  <c r="H16" i="13"/>
  <c r="G16" i="13"/>
  <c r="B16" i="13"/>
  <c r="AA16" i="13" s="1"/>
  <c r="W15" i="13"/>
  <c r="S15" i="13"/>
  <c r="O15" i="13"/>
  <c r="L15" i="13"/>
  <c r="K15" i="13"/>
  <c r="I15" i="13"/>
  <c r="H15" i="13"/>
  <c r="G15" i="13"/>
  <c r="D15" i="13"/>
  <c r="C15" i="13"/>
  <c r="B15" i="13"/>
  <c r="AA14" i="13"/>
  <c r="Y14" i="13"/>
  <c r="W14" i="13"/>
  <c r="V14" i="13"/>
  <c r="T14" i="13"/>
  <c r="S14" i="13"/>
  <c r="Q14" i="13"/>
  <c r="P14" i="13"/>
  <c r="O14" i="13"/>
  <c r="N14" i="13"/>
  <c r="M14" i="13"/>
  <c r="L14" i="13"/>
  <c r="J14" i="13"/>
  <c r="H14" i="13"/>
  <c r="F14" i="13"/>
  <c r="B14" i="13"/>
  <c r="U14" i="13" s="1"/>
  <c r="Z13" i="13"/>
  <c r="Y13" i="13"/>
  <c r="X13" i="13"/>
  <c r="V13" i="13"/>
  <c r="U13" i="13"/>
  <c r="T13" i="13"/>
  <c r="S13" i="13"/>
  <c r="M13" i="13"/>
  <c r="G13" i="13"/>
  <c r="B13" i="13"/>
  <c r="W12" i="13"/>
  <c r="R12" i="13"/>
  <c r="O12" i="13"/>
  <c r="L12" i="13"/>
  <c r="J12" i="13"/>
  <c r="I12" i="13"/>
  <c r="H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B7" i="13"/>
  <c r="AA6" i="13"/>
  <c r="Z6" i="13"/>
  <c r="O6" i="13"/>
  <c r="M6" i="13"/>
  <c r="K6" i="13"/>
  <c r="J6" i="13"/>
  <c r="H6" i="13"/>
  <c r="G6" i="13"/>
  <c r="B6" i="13"/>
  <c r="AB6" i="13" s="1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V3" i="13"/>
  <c r="N3" i="13"/>
  <c r="M3" i="13"/>
  <c r="L3" i="13"/>
  <c r="K3" i="13"/>
  <c r="J3" i="13"/>
  <c r="I3" i="13"/>
  <c r="F3" i="13"/>
  <c r="E3" i="13"/>
  <c r="D3" i="13"/>
  <c r="C3" i="13"/>
  <c r="B3" i="13"/>
  <c r="AA3" i="13" s="1"/>
  <c r="AB2" i="13"/>
  <c r="Z2" i="13"/>
  <c r="Y2" i="13"/>
  <c r="X2" i="13"/>
  <c r="V2" i="13"/>
  <c r="U2" i="13"/>
  <c r="R2" i="13"/>
  <c r="Q2" i="13"/>
  <c r="P2" i="13"/>
  <c r="O2" i="13"/>
  <c r="M2" i="13"/>
  <c r="L2" i="13"/>
  <c r="J2" i="13"/>
  <c r="I2" i="13"/>
  <c r="H2" i="13"/>
  <c r="G2" i="13"/>
  <c r="F2" i="13"/>
  <c r="E2" i="13"/>
  <c r="D2" i="13"/>
  <c r="C2" i="13"/>
  <c r="B2" i="13"/>
  <c r="S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AB16" i="12"/>
  <c r="AA16" i="12"/>
  <c r="Z16" i="12"/>
  <c r="J16" i="12"/>
  <c r="C16" i="12"/>
  <c r="B16" i="12"/>
  <c r="AB15" i="12"/>
  <c r="Z15" i="12"/>
  <c r="W15" i="12"/>
  <c r="V15" i="12"/>
  <c r="T15" i="12"/>
  <c r="S15" i="12"/>
  <c r="R15" i="12"/>
  <c r="Q15" i="12"/>
  <c r="P15" i="12"/>
  <c r="O15" i="12"/>
  <c r="L15" i="12"/>
  <c r="G15" i="12"/>
  <c r="D15" i="12"/>
  <c r="B15" i="12"/>
  <c r="Y15" i="12" s="1"/>
  <c r="AB14" i="12"/>
  <c r="Y14" i="12"/>
  <c r="X14" i="12"/>
  <c r="W14" i="12"/>
  <c r="V14" i="12"/>
  <c r="R14" i="12"/>
  <c r="Q14" i="12"/>
  <c r="L14" i="12"/>
  <c r="K14" i="12"/>
  <c r="B14" i="12"/>
  <c r="B13" i="12"/>
  <c r="AB12" i="12"/>
  <c r="AA12" i="12"/>
  <c r="B12" i="12"/>
  <c r="Z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P8" i="12"/>
  <c r="I8" i="12"/>
  <c r="H8" i="12"/>
  <c r="F8" i="12"/>
  <c r="B8" i="12"/>
  <c r="B7" i="12"/>
  <c r="B6" i="12"/>
  <c r="F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U3" i="12"/>
  <c r="T3" i="12"/>
  <c r="P3" i="12"/>
  <c r="N3" i="12"/>
  <c r="I3" i="12"/>
  <c r="B3" i="12"/>
  <c r="G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J17" i="11"/>
  <c r="D17" i="11"/>
  <c r="C17" i="11"/>
  <c r="B17" i="11"/>
  <c r="AB16" i="11"/>
  <c r="Y16" i="11"/>
  <c r="W16" i="11"/>
  <c r="V16" i="11"/>
  <c r="D16" i="11"/>
  <c r="B16" i="11"/>
  <c r="AA16" i="11" s="1"/>
  <c r="R15" i="11"/>
  <c r="B15" i="11"/>
  <c r="W15" i="11" s="1"/>
  <c r="AA14" i="11"/>
  <c r="X14" i="11"/>
  <c r="W14" i="11"/>
  <c r="V14" i="11"/>
  <c r="U14" i="11"/>
  <c r="T14" i="11"/>
  <c r="R14" i="11"/>
  <c r="Q14" i="11"/>
  <c r="C14" i="11"/>
  <c r="B14" i="11"/>
  <c r="AB14" i="11" s="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P12" i="11"/>
  <c r="L12" i="11"/>
  <c r="K12" i="11"/>
  <c r="J12" i="11"/>
  <c r="I12" i="11"/>
  <c r="G12" i="11"/>
  <c r="F12" i="11"/>
  <c r="E12" i="11"/>
  <c r="C12" i="11"/>
  <c r="B12" i="11"/>
  <c r="AB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C8" i="11"/>
  <c r="B8" i="11"/>
  <c r="Z7" i="11"/>
  <c r="X7" i="11"/>
  <c r="W7" i="11"/>
  <c r="V7" i="11"/>
  <c r="H7" i="11"/>
  <c r="E7" i="11"/>
  <c r="D7" i="11"/>
  <c r="C7" i="11"/>
  <c r="B7" i="11"/>
  <c r="AB7" i="11" s="1"/>
  <c r="X6" i="11"/>
  <c r="U6" i="11"/>
  <c r="T6" i="11"/>
  <c r="R6" i="11"/>
  <c r="Q6" i="11"/>
  <c r="E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P3" i="11"/>
  <c r="C3" i="11"/>
  <c r="B3" i="11"/>
  <c r="M3" i="11" s="1"/>
  <c r="N2" i="11"/>
  <c r="B2" i="1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W15" i="10"/>
  <c r="U15" i="10"/>
  <c r="T15" i="10"/>
  <c r="R15" i="10"/>
  <c r="Q15" i="10"/>
  <c r="P15" i="10"/>
  <c r="O15" i="10"/>
  <c r="N15" i="10"/>
  <c r="M15" i="10"/>
  <c r="L15" i="10"/>
  <c r="K15" i="10"/>
  <c r="I15" i="10"/>
  <c r="H15" i="10"/>
  <c r="G15" i="10"/>
  <c r="F15" i="10"/>
  <c r="E15" i="10"/>
  <c r="C15" i="10"/>
  <c r="B15" i="10"/>
  <c r="AA15" i="10" s="1"/>
  <c r="Y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G14" i="10"/>
  <c r="F14" i="10"/>
  <c r="E14" i="10"/>
  <c r="B14" i="10"/>
  <c r="W14" i="10" s="1"/>
  <c r="P13" i="10"/>
  <c r="M13" i="10"/>
  <c r="H13" i="10"/>
  <c r="F13" i="10"/>
  <c r="D13" i="10"/>
  <c r="B13" i="10"/>
  <c r="AA13" i="10" s="1"/>
  <c r="AA12" i="10"/>
  <c r="Z12" i="10"/>
  <c r="G12" i="10"/>
  <c r="B12" i="10"/>
  <c r="AB12" i="10" s="1"/>
  <c r="C11" i="10"/>
  <c r="B11" i="10"/>
  <c r="B10" i="10"/>
  <c r="B9" i="10"/>
  <c r="AB8" i="10"/>
  <c r="B8" i="10"/>
  <c r="Q8" i="10" s="1"/>
  <c r="X7" i="10"/>
  <c r="B7" i="10"/>
  <c r="Y6" i="10"/>
  <c r="R6" i="10"/>
  <c r="J6" i="10"/>
  <c r="E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J3" i="10"/>
  <c r="B3" i="10"/>
  <c r="Q3" i="10" s="1"/>
  <c r="AA2" i="10"/>
  <c r="Y2" i="10"/>
  <c r="U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M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K15" i="9"/>
  <c r="B15" i="9"/>
  <c r="AB14" i="9"/>
  <c r="AA14" i="9"/>
  <c r="U14" i="9"/>
  <c r="S14" i="9"/>
  <c r="R14" i="9"/>
  <c r="Q14" i="9"/>
  <c r="P14" i="9"/>
  <c r="O14" i="9"/>
  <c r="N14" i="9"/>
  <c r="M14" i="9"/>
  <c r="L14" i="9"/>
  <c r="K14" i="9"/>
  <c r="J14" i="9"/>
  <c r="I14" i="9"/>
  <c r="G14" i="9"/>
  <c r="F14" i="9"/>
  <c r="E14" i="9"/>
  <c r="D14" i="9"/>
  <c r="C14" i="9"/>
  <c r="B14" i="9"/>
  <c r="Y14" i="9" s="1"/>
  <c r="B13" i="9"/>
  <c r="AB12" i="9"/>
  <c r="AA12" i="9"/>
  <c r="Z12" i="9"/>
  <c r="Y12" i="9"/>
  <c r="W12" i="9"/>
  <c r="U12" i="9"/>
  <c r="S12" i="9"/>
  <c r="O12" i="9"/>
  <c r="J12" i="9"/>
  <c r="H12" i="9"/>
  <c r="E12" i="9"/>
  <c r="B12" i="9"/>
  <c r="X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U8" i="9"/>
  <c r="T8" i="9"/>
  <c r="S8" i="9"/>
  <c r="R8" i="9"/>
  <c r="Q8" i="9"/>
  <c r="P8" i="9"/>
  <c r="O8" i="9"/>
  <c r="E8" i="9"/>
  <c r="B8" i="9"/>
  <c r="AB7" i="9"/>
  <c r="AA7" i="9"/>
  <c r="W7" i="9"/>
  <c r="Q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B3" i="9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P15" i="8"/>
  <c r="O15" i="8"/>
  <c r="M15" i="8"/>
  <c r="L15" i="8"/>
  <c r="K15" i="8"/>
  <c r="J15" i="8"/>
  <c r="I15" i="8"/>
  <c r="H15" i="8"/>
  <c r="G15" i="8"/>
  <c r="F15" i="8"/>
  <c r="E15" i="8"/>
  <c r="B15" i="8"/>
  <c r="Y14" i="8"/>
  <c r="V14" i="8"/>
  <c r="U14" i="8"/>
  <c r="T14" i="8"/>
  <c r="S14" i="8"/>
  <c r="R14" i="8"/>
  <c r="Q14" i="8"/>
  <c r="O14" i="8"/>
  <c r="N14" i="8"/>
  <c r="M14" i="8"/>
  <c r="L14" i="8"/>
  <c r="K14" i="8"/>
  <c r="J14" i="8"/>
  <c r="I14" i="8"/>
  <c r="H14" i="8"/>
  <c r="G14" i="8"/>
  <c r="F14" i="8"/>
  <c r="E14" i="8"/>
  <c r="B14" i="8"/>
  <c r="W14" i="8" s="1"/>
  <c r="W13" i="8"/>
  <c r="V13" i="8"/>
  <c r="U13" i="8"/>
  <c r="T13" i="8"/>
  <c r="R13" i="8"/>
  <c r="Q13" i="8"/>
  <c r="P13" i="8"/>
  <c r="O13" i="8"/>
  <c r="N13" i="8"/>
  <c r="M13" i="8"/>
  <c r="L13" i="8"/>
  <c r="K13" i="8"/>
  <c r="J13" i="8"/>
  <c r="I13" i="8"/>
  <c r="H13" i="8"/>
  <c r="B13" i="8"/>
  <c r="S13" i="8" s="1"/>
  <c r="Z12" i="8"/>
  <c r="Y12" i="8"/>
  <c r="X12" i="8"/>
  <c r="V12" i="8"/>
  <c r="U12" i="8"/>
  <c r="T12" i="8"/>
  <c r="S12" i="8"/>
  <c r="R12" i="8"/>
  <c r="Q12" i="8"/>
  <c r="O12" i="8"/>
  <c r="N12" i="8"/>
  <c r="H12" i="8"/>
  <c r="E12" i="8"/>
  <c r="D12" i="8"/>
  <c r="C12" i="8"/>
  <c r="B12" i="8"/>
  <c r="W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Z7" i="8"/>
  <c r="Y7" i="8"/>
  <c r="W7" i="8"/>
  <c r="U7" i="8"/>
  <c r="T7" i="8"/>
  <c r="S7" i="8"/>
  <c r="Q7" i="8"/>
  <c r="P7" i="8"/>
  <c r="O7" i="8"/>
  <c r="M7" i="8"/>
  <c r="K7" i="8"/>
  <c r="J7" i="8"/>
  <c r="G7" i="8"/>
  <c r="B7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V3" i="8"/>
  <c r="S3" i="8"/>
  <c r="Q3" i="8"/>
  <c r="P3" i="8"/>
  <c r="H3" i="8"/>
  <c r="G3" i="8"/>
  <c r="B3" i="8"/>
  <c r="AB3" i="8" s="1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Z17" i="7"/>
  <c r="U17" i="7"/>
  <c r="F17" i="7"/>
  <c r="E17" i="7"/>
  <c r="D17" i="7"/>
  <c r="C17" i="7"/>
  <c r="B17" i="7"/>
  <c r="N16" i="7"/>
  <c r="M16" i="7"/>
  <c r="L16" i="7"/>
  <c r="J16" i="7"/>
  <c r="H16" i="7"/>
  <c r="G16" i="7"/>
  <c r="B16" i="7"/>
  <c r="AA16" i="7" s="1"/>
  <c r="AA15" i="7"/>
  <c r="B15" i="7"/>
  <c r="M15" i="7" s="1"/>
  <c r="AB14" i="7"/>
  <c r="R14" i="7"/>
  <c r="Q14" i="7"/>
  <c r="O14" i="7"/>
  <c r="N14" i="7"/>
  <c r="M14" i="7"/>
  <c r="J14" i="7"/>
  <c r="H14" i="7"/>
  <c r="B14" i="7"/>
  <c r="B13" i="7"/>
  <c r="K13" i="7" s="1"/>
  <c r="AB12" i="7"/>
  <c r="Y12" i="7"/>
  <c r="S12" i="7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AA8" i="7"/>
  <c r="Z8" i="7"/>
  <c r="Y8" i="7"/>
  <c r="W8" i="7"/>
  <c r="V8" i="7"/>
  <c r="T8" i="7"/>
  <c r="R8" i="7"/>
  <c r="Q8" i="7"/>
  <c r="P8" i="7"/>
  <c r="N8" i="7"/>
  <c r="M8" i="7"/>
  <c r="L8" i="7"/>
  <c r="K8" i="7"/>
  <c r="C8" i="7"/>
  <c r="B8" i="7"/>
  <c r="U8" i="7" s="1"/>
  <c r="B7" i="7"/>
  <c r="AB6" i="7"/>
  <c r="Z6" i="7"/>
  <c r="X6" i="7"/>
  <c r="W6" i="7"/>
  <c r="V6" i="7"/>
  <c r="U6" i="7"/>
  <c r="S6" i="7"/>
  <c r="R6" i="7"/>
  <c r="Q6" i="7"/>
  <c r="P6" i="7"/>
  <c r="O6" i="7"/>
  <c r="N6" i="7"/>
  <c r="I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Z3" i="7"/>
  <c r="J3" i="7"/>
  <c r="G3" i="7"/>
  <c r="F3" i="7"/>
  <c r="B3" i="7"/>
  <c r="Z2" i="7"/>
  <c r="S2" i="7"/>
  <c r="R2" i="7"/>
  <c r="Q2" i="7"/>
  <c r="P2" i="7"/>
  <c r="O2" i="7"/>
  <c r="N2" i="7"/>
  <c r="M2" i="7"/>
  <c r="K2" i="7"/>
  <c r="I2" i="7"/>
  <c r="H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Z17" i="6"/>
  <c r="X17" i="6"/>
  <c r="W17" i="6"/>
  <c r="V17" i="6"/>
  <c r="U17" i="6"/>
  <c r="T17" i="6"/>
  <c r="S17" i="6"/>
  <c r="R17" i="6"/>
  <c r="Q17" i="6"/>
  <c r="P17" i="6"/>
  <c r="O17" i="6"/>
  <c r="M17" i="6"/>
  <c r="K17" i="6"/>
  <c r="J17" i="6"/>
  <c r="H17" i="6"/>
  <c r="G17" i="6"/>
  <c r="D17" i="6"/>
  <c r="C17" i="6"/>
  <c r="B17" i="6"/>
  <c r="E16" i="6"/>
  <c r="D16" i="6"/>
  <c r="C16" i="6"/>
  <c r="B16" i="6"/>
  <c r="T15" i="6"/>
  <c r="R15" i="6"/>
  <c r="P15" i="6"/>
  <c r="O15" i="6"/>
  <c r="N15" i="6"/>
  <c r="G15" i="6"/>
  <c r="B15" i="6"/>
  <c r="Y15" i="6" s="1"/>
  <c r="B14" i="6"/>
  <c r="X14" i="6" s="1"/>
  <c r="Y13" i="6"/>
  <c r="V13" i="6"/>
  <c r="T13" i="6"/>
  <c r="R13" i="6"/>
  <c r="Q13" i="6"/>
  <c r="P13" i="6"/>
  <c r="O13" i="6"/>
  <c r="N13" i="6"/>
  <c r="M13" i="6"/>
  <c r="K13" i="6"/>
  <c r="B13" i="6"/>
  <c r="R12" i="6"/>
  <c r="P12" i="6"/>
  <c r="L12" i="6"/>
  <c r="K12" i="6"/>
  <c r="J12" i="6"/>
  <c r="D12" i="6"/>
  <c r="B12" i="6"/>
  <c r="V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D8" i="6" s="1"/>
  <c r="B7" i="6"/>
  <c r="J7" i="6" s="1"/>
  <c r="B6" i="6"/>
  <c r="P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B17" i="5"/>
  <c r="B16" i="5"/>
  <c r="Z15" i="5"/>
  <c r="Y15" i="5"/>
  <c r="Q15" i="5"/>
  <c r="P15" i="5"/>
  <c r="O15" i="5"/>
  <c r="N15" i="5"/>
  <c r="M15" i="5"/>
  <c r="L15" i="5"/>
  <c r="B15" i="5"/>
  <c r="AB15" i="5" s="1"/>
  <c r="B14" i="5"/>
  <c r="X13" i="5"/>
  <c r="R13" i="5"/>
  <c r="M13" i="5"/>
  <c r="K13" i="5"/>
  <c r="J13" i="5"/>
  <c r="I13" i="5"/>
  <c r="H13" i="5"/>
  <c r="G13" i="5"/>
  <c r="D13" i="5"/>
  <c r="B13" i="5"/>
  <c r="AB13" i="5" s="1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Y7" i="5"/>
  <c r="X7" i="5"/>
  <c r="V7" i="5"/>
  <c r="U7" i="5"/>
  <c r="N7" i="5"/>
  <c r="B7" i="5"/>
  <c r="Z6" i="5"/>
  <c r="X6" i="5"/>
  <c r="W6" i="5"/>
  <c r="R6" i="5"/>
  <c r="M6" i="5"/>
  <c r="K6" i="5"/>
  <c r="J6" i="5"/>
  <c r="I6" i="5"/>
  <c r="E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B2" i="5"/>
  <c r="D2" i="5" s="1"/>
  <c r="B2" i="1"/>
  <c r="AB15" i="7" l="1"/>
  <c r="Y7" i="13"/>
  <c r="S7" i="13"/>
  <c r="L7" i="13"/>
  <c r="I7" i="13"/>
  <c r="AA7" i="13"/>
  <c r="Z7" i="13"/>
  <c r="X7" i="13"/>
  <c r="W7" i="13"/>
  <c r="R7" i="13"/>
  <c r="U7" i="13"/>
  <c r="N7" i="13"/>
  <c r="M7" i="13"/>
  <c r="H7" i="13"/>
  <c r="G7" i="13"/>
  <c r="F7" i="13"/>
  <c r="D7" i="13"/>
  <c r="C7" i="13"/>
  <c r="AB7" i="13"/>
  <c r="G6" i="15"/>
  <c r="P6" i="15"/>
  <c r="L6" i="15"/>
  <c r="K6" i="15"/>
  <c r="J6" i="15"/>
  <c r="X6" i="15"/>
  <c r="W6" i="15"/>
  <c r="S6" i="15"/>
  <c r="AB6" i="15"/>
  <c r="AA6" i="15"/>
  <c r="V6" i="15"/>
  <c r="U6" i="15"/>
  <c r="T6" i="15"/>
  <c r="R6" i="15"/>
  <c r="Q6" i="15"/>
  <c r="M6" i="15"/>
  <c r="I6" i="15"/>
  <c r="E6" i="15"/>
  <c r="G7" i="7"/>
  <c r="L7" i="7"/>
  <c r="K7" i="7"/>
  <c r="H7" i="7"/>
  <c r="J7" i="7"/>
  <c r="I7" i="7"/>
  <c r="F7" i="7"/>
  <c r="E7" i="7"/>
  <c r="E13" i="7"/>
  <c r="E7" i="13"/>
  <c r="D6" i="15"/>
  <c r="F2" i="5"/>
  <c r="J6" i="6"/>
  <c r="O12" i="6"/>
  <c r="E14" i="6"/>
  <c r="Q15" i="6"/>
  <c r="C7" i="7"/>
  <c r="F13" i="7"/>
  <c r="R3" i="8"/>
  <c r="N6" i="15"/>
  <c r="C2" i="5"/>
  <c r="O2" i="8"/>
  <c r="D2" i="8"/>
  <c r="M2" i="8"/>
  <c r="I2" i="8"/>
  <c r="L2" i="8"/>
  <c r="K2" i="8"/>
  <c r="H2" i="8"/>
  <c r="G2" i="8"/>
  <c r="O6" i="15"/>
  <c r="C15" i="7"/>
  <c r="M3" i="5"/>
  <c r="Y13" i="5"/>
  <c r="D15" i="7"/>
  <c r="F14" i="6"/>
  <c r="D7" i="5"/>
  <c r="AB7" i="5"/>
  <c r="Z7" i="5"/>
  <c r="AA7" i="5"/>
  <c r="AA15" i="5"/>
  <c r="Z2" i="6"/>
  <c r="M6" i="6"/>
  <c r="S12" i="6"/>
  <c r="O14" i="6"/>
  <c r="U15" i="6"/>
  <c r="N7" i="7"/>
  <c r="J13" i="7"/>
  <c r="F2" i="8"/>
  <c r="W3" i="8"/>
  <c r="N3" i="5"/>
  <c r="I7" i="5"/>
  <c r="Z13" i="5"/>
  <c r="AA2" i="6"/>
  <c r="N6" i="6"/>
  <c r="T12" i="6"/>
  <c r="P14" i="6"/>
  <c r="V15" i="6"/>
  <c r="O7" i="7"/>
  <c r="E15" i="7"/>
  <c r="N2" i="8"/>
  <c r="Z3" i="8"/>
  <c r="AA7" i="11"/>
  <c r="Z13" i="7"/>
  <c r="R13" i="7"/>
  <c r="V13" i="7"/>
  <c r="Q13" i="7"/>
  <c r="T13" i="7"/>
  <c r="S13" i="7"/>
  <c r="O13" i="7"/>
  <c r="N13" i="7"/>
  <c r="I13" i="7"/>
  <c r="D14" i="5"/>
  <c r="AB14" i="5"/>
  <c r="Z14" i="5"/>
  <c r="Y14" i="5"/>
  <c r="V14" i="5"/>
  <c r="AA14" i="5"/>
  <c r="W14" i="5"/>
  <c r="AB2" i="6"/>
  <c r="O6" i="6"/>
  <c r="U12" i="6"/>
  <c r="Q14" i="6"/>
  <c r="W15" i="6"/>
  <c r="X3" i="7"/>
  <c r="U3" i="7"/>
  <c r="P3" i="7"/>
  <c r="M3" i="7"/>
  <c r="O3" i="7"/>
  <c r="N3" i="7"/>
  <c r="L3" i="7"/>
  <c r="K3" i="7"/>
  <c r="P7" i="7"/>
  <c r="M13" i="7"/>
  <c r="F15" i="7"/>
  <c r="AB17" i="7"/>
  <c r="G17" i="7"/>
  <c r="M17" i="7"/>
  <c r="J17" i="7"/>
  <c r="L17" i="7"/>
  <c r="K17" i="7"/>
  <c r="I17" i="7"/>
  <c r="H17" i="7"/>
  <c r="P2" i="8"/>
  <c r="AA3" i="8"/>
  <c r="E6" i="6"/>
  <c r="C14" i="6"/>
  <c r="E2" i="5"/>
  <c r="D7" i="7"/>
  <c r="H13" i="7"/>
  <c r="T2" i="6"/>
  <c r="O17" i="5"/>
  <c r="X17" i="5"/>
  <c r="Y17" i="5"/>
  <c r="V17" i="5"/>
  <c r="W17" i="5"/>
  <c r="N12" i="7"/>
  <c r="P12" i="7"/>
  <c r="L12" i="7"/>
  <c r="O12" i="7"/>
  <c r="M12" i="7"/>
  <c r="K12" i="7"/>
  <c r="J12" i="7"/>
  <c r="W13" i="7"/>
  <c r="G15" i="7"/>
  <c r="Q2" i="8"/>
  <c r="AB8" i="11"/>
  <c r="S8" i="11"/>
  <c r="X8" i="11"/>
  <c r="T8" i="11"/>
  <c r="R8" i="11"/>
  <c r="Q8" i="11"/>
  <c r="N8" i="11"/>
  <c r="P8" i="11"/>
  <c r="O8" i="11"/>
  <c r="K8" i="11"/>
  <c r="J8" i="11"/>
  <c r="E8" i="11"/>
  <c r="D8" i="11"/>
  <c r="L3" i="5"/>
  <c r="X15" i="5"/>
  <c r="W15" i="5"/>
  <c r="V15" i="5"/>
  <c r="T15" i="5"/>
  <c r="U15" i="5"/>
  <c r="R15" i="5"/>
  <c r="S15" i="5"/>
  <c r="C12" i="7"/>
  <c r="X13" i="7"/>
  <c r="H15" i="7"/>
  <c r="R2" i="8"/>
  <c r="H14" i="6"/>
  <c r="Q7" i="7"/>
  <c r="T3" i="5"/>
  <c r="D17" i="5"/>
  <c r="AB6" i="6"/>
  <c r="W12" i="6"/>
  <c r="S14" i="6"/>
  <c r="Z15" i="6"/>
  <c r="R7" i="7"/>
  <c r="U3" i="5"/>
  <c r="C15" i="5"/>
  <c r="J17" i="5"/>
  <c r="T14" i="6"/>
  <c r="AA15" i="6"/>
  <c r="H3" i="7"/>
  <c r="S7" i="7"/>
  <c r="E12" i="7"/>
  <c r="AA13" i="7"/>
  <c r="I15" i="7"/>
  <c r="S2" i="8"/>
  <c r="W2" i="10"/>
  <c r="V2" i="10"/>
  <c r="M2" i="10"/>
  <c r="L2" i="10"/>
  <c r="H2" i="10"/>
  <c r="F2" i="10"/>
  <c r="K2" i="10"/>
  <c r="E2" i="10"/>
  <c r="J2" i="10"/>
  <c r="G2" i="10"/>
  <c r="D2" i="10"/>
  <c r="C2" i="10"/>
  <c r="I8" i="11"/>
  <c r="Z6" i="16"/>
  <c r="V6" i="16"/>
  <c r="S6" i="16"/>
  <c r="Q6" i="16"/>
  <c r="O6" i="16"/>
  <c r="K6" i="16"/>
  <c r="J6" i="16"/>
  <c r="H6" i="16"/>
  <c r="G6" i="16"/>
  <c r="F6" i="16"/>
  <c r="W6" i="16"/>
  <c r="T6" i="16"/>
  <c r="N6" i="16"/>
  <c r="M6" i="16"/>
  <c r="L6" i="16"/>
  <c r="I6" i="16"/>
  <c r="E6" i="16"/>
  <c r="Q3" i="5"/>
  <c r="AA6" i="6"/>
  <c r="R14" i="6"/>
  <c r="V3" i="5"/>
  <c r="D15" i="5"/>
  <c r="K17" i="5"/>
  <c r="U7" i="7"/>
  <c r="J15" i="7"/>
  <c r="Y7" i="9"/>
  <c r="V7" i="9"/>
  <c r="L7" i="9"/>
  <c r="J7" i="9"/>
  <c r="I7" i="9"/>
  <c r="G7" i="9"/>
  <c r="C7" i="9"/>
  <c r="F7" i="9"/>
  <c r="D7" i="9"/>
  <c r="X7" i="9"/>
  <c r="AA13" i="9"/>
  <c r="Z13" i="9"/>
  <c r="Y13" i="9"/>
  <c r="X13" i="9"/>
  <c r="W13" i="9"/>
  <c r="S13" i="9"/>
  <c r="M13" i="9"/>
  <c r="D13" i="9"/>
  <c r="N2" i="10"/>
  <c r="I6" i="6"/>
  <c r="AB15" i="6"/>
  <c r="AB13" i="7"/>
  <c r="C8" i="6"/>
  <c r="Z14" i="7"/>
  <c r="U14" i="7"/>
  <c r="AA14" i="7"/>
  <c r="V14" i="7"/>
  <c r="Y14" i="7"/>
  <c r="X14" i="7"/>
  <c r="T14" i="7"/>
  <c r="S14" i="7"/>
  <c r="K15" i="7"/>
  <c r="Q17" i="7"/>
  <c r="U2" i="8"/>
  <c r="M7" i="9"/>
  <c r="C13" i="9"/>
  <c r="AA15" i="9"/>
  <c r="M15" i="9"/>
  <c r="P2" i="10"/>
  <c r="U14" i="6"/>
  <c r="W14" i="6"/>
  <c r="N14" i="6"/>
  <c r="K14" i="6"/>
  <c r="M14" i="6"/>
  <c r="L14" i="6"/>
  <c r="J14" i="6"/>
  <c r="I14" i="6"/>
  <c r="D14" i="6"/>
  <c r="S3" i="5"/>
  <c r="O14" i="5"/>
  <c r="E15" i="5"/>
  <c r="L17" i="5"/>
  <c r="Y14" i="6"/>
  <c r="S3" i="7"/>
  <c r="V7" i="7"/>
  <c r="G12" i="7"/>
  <c r="F15" i="5"/>
  <c r="P17" i="5"/>
  <c r="AA14" i="6"/>
  <c r="T3" i="7"/>
  <c r="W7" i="7"/>
  <c r="H12" i="7"/>
  <c r="D14" i="7"/>
  <c r="L15" i="7"/>
  <c r="S17" i="7"/>
  <c r="V2" i="8"/>
  <c r="N7" i="9"/>
  <c r="Q13" i="9"/>
  <c r="AA6" i="10"/>
  <c r="O6" i="10"/>
  <c r="AB8" i="6"/>
  <c r="I8" i="6"/>
  <c r="U8" i="6"/>
  <c r="J8" i="6"/>
  <c r="H8" i="6"/>
  <c r="G8" i="6"/>
  <c r="F12" i="7"/>
  <c r="T2" i="8"/>
  <c r="G15" i="5"/>
  <c r="Q17" i="5"/>
  <c r="E8" i="6"/>
  <c r="AB14" i="6"/>
  <c r="V3" i="7"/>
  <c r="Y7" i="7"/>
  <c r="R12" i="7"/>
  <c r="F14" i="7"/>
  <c r="T17" i="7"/>
  <c r="W2" i="8"/>
  <c r="P7" i="9"/>
  <c r="Y15" i="9"/>
  <c r="X2" i="10"/>
  <c r="C6" i="10"/>
  <c r="W6" i="12"/>
  <c r="AB14" i="15"/>
  <c r="D14" i="15"/>
  <c r="O14" i="15"/>
  <c r="N14" i="15"/>
  <c r="M14" i="15"/>
  <c r="E14" i="15"/>
  <c r="K6" i="6"/>
  <c r="X15" i="6"/>
  <c r="S15" i="6"/>
  <c r="M15" i="6"/>
  <c r="L15" i="6"/>
  <c r="K15" i="6"/>
  <c r="J15" i="6"/>
  <c r="H15" i="6"/>
  <c r="I15" i="6"/>
  <c r="Z2" i="8"/>
  <c r="Z17" i="9"/>
  <c r="AA17" i="9"/>
  <c r="X17" i="9"/>
  <c r="T17" i="9"/>
  <c r="R17" i="9"/>
  <c r="W17" i="9"/>
  <c r="Q17" i="9"/>
  <c r="U17" i="9"/>
  <c r="S17" i="9"/>
  <c r="P17" i="9"/>
  <c r="O17" i="9"/>
  <c r="J17" i="9"/>
  <c r="P7" i="12"/>
  <c r="AA7" i="12"/>
  <c r="Z7" i="12"/>
  <c r="Y7" i="12"/>
  <c r="X7" i="12"/>
  <c r="W7" i="12"/>
  <c r="J7" i="12"/>
  <c r="V7" i="12"/>
  <c r="S7" i="12"/>
  <c r="K7" i="12"/>
  <c r="I7" i="12"/>
  <c r="G7" i="12"/>
  <c r="E7" i="12"/>
  <c r="D7" i="12"/>
  <c r="AB7" i="12"/>
  <c r="X15" i="7"/>
  <c r="R15" i="7"/>
  <c r="W15" i="7"/>
  <c r="T15" i="7"/>
  <c r="Q15" i="7"/>
  <c r="V15" i="7"/>
  <c r="U15" i="7"/>
  <c r="S15" i="7"/>
  <c r="C2" i="8"/>
  <c r="H15" i="5"/>
  <c r="R17" i="5"/>
  <c r="I15" i="5"/>
  <c r="S17" i="5"/>
  <c r="C15" i="6"/>
  <c r="AB3" i="7"/>
  <c r="AA7" i="7"/>
  <c r="T12" i="7"/>
  <c r="I14" i="7"/>
  <c r="O15" i="7"/>
  <c r="V17" i="7"/>
  <c r="AA2" i="8"/>
  <c r="R7" i="9"/>
  <c r="E17" i="9"/>
  <c r="Z2" i="10"/>
  <c r="H6" i="10"/>
  <c r="F7" i="12"/>
  <c r="Z7" i="7"/>
  <c r="N15" i="7"/>
  <c r="AB7" i="7"/>
  <c r="V12" i="7"/>
  <c r="Z3" i="9"/>
  <c r="Y3" i="9"/>
  <c r="K3" i="9"/>
  <c r="S3" i="9"/>
  <c r="O3" i="9"/>
  <c r="G3" i="9"/>
  <c r="F3" i="9"/>
  <c r="S7" i="9"/>
  <c r="F17" i="9"/>
  <c r="U8" i="12"/>
  <c r="AA8" i="12"/>
  <c r="S8" i="12"/>
  <c r="Z8" i="12"/>
  <c r="Y8" i="12"/>
  <c r="X8" i="12"/>
  <c r="W8" i="12"/>
  <c r="V8" i="12"/>
  <c r="R8" i="12"/>
  <c r="Q8" i="12"/>
  <c r="M8" i="12"/>
  <c r="J8" i="12"/>
  <c r="G8" i="12"/>
  <c r="L6" i="6"/>
  <c r="M7" i="7"/>
  <c r="J15" i="5"/>
  <c r="T17" i="5"/>
  <c r="D15" i="6"/>
  <c r="P15" i="7"/>
  <c r="J3" i="8"/>
  <c r="E3" i="8"/>
  <c r="O3" i="8"/>
  <c r="L3" i="8"/>
  <c r="N3" i="8"/>
  <c r="M3" i="8"/>
  <c r="I3" i="8"/>
  <c r="K3" i="8"/>
  <c r="F13" i="5"/>
  <c r="K15" i="5"/>
  <c r="U17" i="5"/>
  <c r="E15" i="6"/>
  <c r="X8" i="7"/>
  <c r="I8" i="7"/>
  <c r="J8" i="7"/>
  <c r="F8" i="7"/>
  <c r="D8" i="7"/>
  <c r="H8" i="7"/>
  <c r="G8" i="7"/>
  <c r="E8" i="7"/>
  <c r="W12" i="7"/>
  <c r="L14" i="7"/>
  <c r="Y15" i="7"/>
  <c r="AA17" i="7"/>
  <c r="C3" i="8"/>
  <c r="C3" i="9"/>
  <c r="T7" i="9"/>
  <c r="G17" i="9"/>
  <c r="L6" i="10"/>
  <c r="Q2" i="11"/>
  <c r="I2" i="11"/>
  <c r="G2" i="11"/>
  <c r="C8" i="12"/>
  <c r="X12" i="6"/>
  <c r="N12" i="6"/>
  <c r="AB12" i="6"/>
  <c r="Y12" i="6"/>
  <c r="F15" i="6"/>
  <c r="X12" i="7"/>
  <c r="Z15" i="7"/>
  <c r="D3" i="8"/>
  <c r="AA3" i="9"/>
  <c r="U7" i="9"/>
  <c r="K17" i="9"/>
  <c r="Q7" i="11"/>
  <c r="R7" i="11"/>
  <c r="U7" i="11"/>
  <c r="T7" i="11"/>
  <c r="S7" i="11"/>
  <c r="N7" i="11"/>
  <c r="P7" i="11"/>
  <c r="O7" i="11"/>
  <c r="K7" i="11"/>
  <c r="M7" i="11"/>
  <c r="L7" i="11"/>
  <c r="J7" i="11"/>
  <c r="I7" i="11"/>
  <c r="G7" i="11"/>
  <c r="F7" i="11"/>
  <c r="D8" i="12"/>
  <c r="AB12" i="16"/>
  <c r="X12" i="16"/>
  <c r="W12" i="16"/>
  <c r="K12" i="16"/>
  <c r="Y12" i="16"/>
  <c r="I12" i="16"/>
  <c r="AB12" i="13"/>
  <c r="V12" i="13"/>
  <c r="U12" i="13"/>
  <c r="D12" i="13"/>
  <c r="X15" i="13"/>
  <c r="J15" i="13"/>
  <c r="F15" i="13"/>
  <c r="E15" i="13"/>
  <c r="Q15" i="13"/>
  <c r="E6" i="14"/>
  <c r="O15" i="14"/>
  <c r="Z2" i="17"/>
  <c r="W2" i="17"/>
  <c r="L2" i="17"/>
  <c r="I2" i="17"/>
  <c r="G2" i="17"/>
  <c r="F2" i="17"/>
  <c r="O3" i="19"/>
  <c r="J3" i="19"/>
  <c r="I3" i="19"/>
  <c r="H3" i="19"/>
  <c r="G3" i="19"/>
  <c r="E3" i="19"/>
  <c r="D3" i="19"/>
  <c r="AB3" i="19"/>
  <c r="C3" i="19"/>
  <c r="Y3" i="19"/>
  <c r="W3" i="19"/>
  <c r="V3" i="19"/>
  <c r="U3" i="19"/>
  <c r="T3" i="19"/>
  <c r="S3" i="19"/>
  <c r="R3" i="19"/>
  <c r="Q3" i="19"/>
  <c r="P3" i="19"/>
  <c r="N3" i="19"/>
  <c r="M3" i="19"/>
  <c r="K3" i="19"/>
  <c r="M12" i="13"/>
  <c r="F3" i="19"/>
  <c r="M12" i="11"/>
  <c r="S12" i="13"/>
  <c r="M15" i="13"/>
  <c r="P6" i="14"/>
  <c r="O12" i="11"/>
  <c r="S14" i="11"/>
  <c r="K14" i="11"/>
  <c r="T12" i="13"/>
  <c r="N15" i="13"/>
  <c r="P3" i="15"/>
  <c r="L3" i="15"/>
  <c r="G3" i="15"/>
  <c r="F3" i="15"/>
  <c r="E3" i="15"/>
  <c r="Y3" i="15"/>
  <c r="X3" i="15"/>
  <c r="Q3" i="15"/>
  <c r="Y14" i="14"/>
  <c r="S14" i="14"/>
  <c r="E6" i="17"/>
  <c r="C6" i="17"/>
  <c r="L6" i="17"/>
  <c r="G6" i="17"/>
  <c r="D15" i="18"/>
  <c r="C15" i="18"/>
  <c r="AB15" i="18"/>
  <c r="AA15" i="18"/>
  <c r="Z15" i="18"/>
  <c r="Y15" i="18"/>
  <c r="X15" i="18"/>
  <c r="W15" i="18"/>
  <c r="S15" i="18"/>
  <c r="M15" i="18"/>
  <c r="K15" i="18"/>
  <c r="J15" i="18"/>
  <c r="E15" i="18"/>
  <c r="W8" i="9"/>
  <c r="X8" i="9"/>
  <c r="AA6" i="11"/>
  <c r="O6" i="11"/>
  <c r="T12" i="11"/>
  <c r="E14" i="11"/>
  <c r="X12" i="13"/>
  <c r="P15" i="13"/>
  <c r="S6" i="14"/>
  <c r="R14" i="14"/>
  <c r="D3" i="15"/>
  <c r="M6" i="17"/>
  <c r="Q15" i="18"/>
  <c r="C8" i="9"/>
  <c r="C6" i="11"/>
  <c r="U12" i="11"/>
  <c r="F14" i="11"/>
  <c r="X15" i="12"/>
  <c r="N15" i="12"/>
  <c r="M15" i="12"/>
  <c r="AA15" i="12"/>
  <c r="C15" i="12"/>
  <c r="W13" i="13"/>
  <c r="F13" i="13"/>
  <c r="P13" i="13"/>
  <c r="R15" i="13"/>
  <c r="X6" i="14"/>
  <c r="AB14" i="14"/>
  <c r="I3" i="15"/>
  <c r="Q6" i="17"/>
  <c r="Z3" i="18"/>
  <c r="I3" i="18"/>
  <c r="H3" i="18"/>
  <c r="D3" i="18"/>
  <c r="Y3" i="18"/>
  <c r="W3" i="18"/>
  <c r="S3" i="18"/>
  <c r="R3" i="18"/>
  <c r="Q3" i="18"/>
  <c r="M3" i="18"/>
  <c r="K3" i="18"/>
  <c r="J3" i="18"/>
  <c r="X15" i="14"/>
  <c r="V15" i="14"/>
  <c r="R15" i="14"/>
  <c r="Q15" i="14"/>
  <c r="P15" i="14"/>
  <c r="K15" i="14"/>
  <c r="H15" i="14"/>
  <c r="G15" i="14"/>
  <c r="Z15" i="14"/>
  <c r="C15" i="14"/>
  <c r="J3" i="15"/>
  <c r="Y7" i="17"/>
  <c r="X7" i="17"/>
  <c r="V7" i="17"/>
  <c r="T7" i="17"/>
  <c r="S7" i="17"/>
  <c r="R7" i="17"/>
  <c r="J7" i="17"/>
  <c r="H7" i="17"/>
  <c r="F7" i="17"/>
  <c r="E7" i="17"/>
  <c r="D7" i="17"/>
  <c r="Z7" i="17"/>
  <c r="E15" i="12"/>
  <c r="H13" i="13"/>
  <c r="T15" i="13"/>
  <c r="D15" i="14"/>
  <c r="K3" i="15"/>
  <c r="G7" i="17"/>
  <c r="X12" i="11"/>
  <c r="F8" i="9"/>
  <c r="Y13" i="10"/>
  <c r="D3" i="11"/>
  <c r="G6" i="11"/>
  <c r="Y12" i="11"/>
  <c r="H14" i="11"/>
  <c r="N17" i="6"/>
  <c r="L17" i="6"/>
  <c r="AB17" i="6"/>
  <c r="E6" i="8"/>
  <c r="AB12" i="8"/>
  <c r="AA13" i="8"/>
  <c r="G8" i="9"/>
  <c r="T14" i="9"/>
  <c r="C8" i="10"/>
  <c r="Z13" i="10"/>
  <c r="V15" i="10"/>
  <c r="E3" i="11"/>
  <c r="H6" i="11"/>
  <c r="Z12" i="11"/>
  <c r="I14" i="11"/>
  <c r="F3" i="12"/>
  <c r="F15" i="12"/>
  <c r="K13" i="13"/>
  <c r="V15" i="13"/>
  <c r="E15" i="14"/>
  <c r="M3" i="15"/>
  <c r="J8" i="15"/>
  <c r="E8" i="15"/>
  <c r="D8" i="15"/>
  <c r="C8" i="15"/>
  <c r="Z8" i="15"/>
  <c r="W8" i="15"/>
  <c r="T8" i="15"/>
  <c r="M8" i="15"/>
  <c r="K7" i="17"/>
  <c r="P3" i="18"/>
  <c r="O7" i="17"/>
  <c r="V3" i="18"/>
  <c r="G14" i="11"/>
  <c r="AB13" i="6"/>
  <c r="S13" i="6"/>
  <c r="AB13" i="8"/>
  <c r="I6" i="11"/>
  <c r="J14" i="11"/>
  <c r="G13" i="6"/>
  <c r="C13" i="8"/>
  <c r="V14" i="9"/>
  <c r="I8" i="10"/>
  <c r="H15" i="12"/>
  <c r="T17" i="12"/>
  <c r="O17" i="12"/>
  <c r="N13" i="13"/>
  <c r="Y15" i="13"/>
  <c r="I15" i="14"/>
  <c r="T3" i="15"/>
  <c r="G8" i="15"/>
  <c r="V17" i="16"/>
  <c r="U17" i="16"/>
  <c r="J17" i="16"/>
  <c r="G17" i="16"/>
  <c r="D17" i="16"/>
  <c r="C17" i="16"/>
  <c r="Z17" i="16"/>
  <c r="Y17" i="16"/>
  <c r="P7" i="17"/>
  <c r="X13" i="8"/>
  <c r="AA6" i="7"/>
  <c r="K6" i="7"/>
  <c r="O6" i="8"/>
  <c r="X14" i="8"/>
  <c r="P14" i="8"/>
  <c r="Z14" i="8"/>
  <c r="K8" i="9"/>
  <c r="X14" i="10"/>
  <c r="H14" i="10"/>
  <c r="Z14" i="10"/>
  <c r="Y15" i="10"/>
  <c r="I3" i="11"/>
  <c r="J6" i="11"/>
  <c r="L14" i="11"/>
  <c r="J3" i="12"/>
  <c r="H13" i="6"/>
  <c r="E17" i="6"/>
  <c r="Y2" i="7"/>
  <c r="L2" i="7"/>
  <c r="F6" i="7"/>
  <c r="P6" i="8"/>
  <c r="E13" i="8"/>
  <c r="C14" i="8"/>
  <c r="AA14" i="8"/>
  <c r="L8" i="9"/>
  <c r="C12" i="9"/>
  <c r="W14" i="9"/>
  <c r="K8" i="10"/>
  <c r="C14" i="10"/>
  <c r="AA14" i="10"/>
  <c r="Z15" i="10"/>
  <c r="J3" i="11"/>
  <c r="K6" i="11"/>
  <c r="M14" i="11"/>
  <c r="K3" i="12"/>
  <c r="C12" i="12"/>
  <c r="I15" i="12"/>
  <c r="G17" i="12"/>
  <c r="O13" i="13"/>
  <c r="Z15" i="13"/>
  <c r="J15" i="14"/>
  <c r="U3" i="15"/>
  <c r="H8" i="15"/>
  <c r="H17" i="16"/>
  <c r="U7" i="17"/>
  <c r="AA12" i="8"/>
  <c r="F6" i="8"/>
  <c r="I8" i="9"/>
  <c r="G8" i="10"/>
  <c r="H3" i="11"/>
  <c r="I13" i="6"/>
  <c r="F17" i="6"/>
  <c r="H6" i="7"/>
  <c r="F13" i="8"/>
  <c r="D14" i="8"/>
  <c r="AB14" i="8"/>
  <c r="M8" i="9"/>
  <c r="D12" i="9"/>
  <c r="N8" i="10"/>
  <c r="D14" i="10"/>
  <c r="AB14" i="10"/>
  <c r="K3" i="11"/>
  <c r="L6" i="11"/>
  <c r="N14" i="11"/>
  <c r="L3" i="12"/>
  <c r="H12" i="12"/>
  <c r="J15" i="12"/>
  <c r="Q13" i="13"/>
  <c r="AA15" i="13"/>
  <c r="L15" i="14"/>
  <c r="W3" i="15"/>
  <c r="K8" i="15"/>
  <c r="R17" i="16"/>
  <c r="W7" i="17"/>
  <c r="AB17" i="17"/>
  <c r="AA17" i="17"/>
  <c r="Z17" i="17"/>
  <c r="W17" i="17"/>
  <c r="U17" i="17"/>
  <c r="R17" i="17"/>
  <c r="O17" i="17"/>
  <c r="M17" i="17"/>
  <c r="L17" i="17"/>
  <c r="G13" i="8"/>
  <c r="Z15" i="8"/>
  <c r="N15" i="8"/>
  <c r="N8" i="9"/>
  <c r="X14" i="9"/>
  <c r="H14" i="9"/>
  <c r="Z14" i="9"/>
  <c r="Z8" i="10"/>
  <c r="X15" i="10"/>
  <c r="D15" i="10"/>
  <c r="AB15" i="10"/>
  <c r="L3" i="11"/>
  <c r="P6" i="11"/>
  <c r="O14" i="11"/>
  <c r="M3" i="12"/>
  <c r="K15" i="12"/>
  <c r="R13" i="13"/>
  <c r="AB15" i="13"/>
  <c r="M15" i="14"/>
  <c r="Z3" i="15"/>
  <c r="L8" i="15"/>
  <c r="AB17" i="16"/>
  <c r="E17" i="17"/>
  <c r="P14" i="11"/>
  <c r="U6" i="14"/>
  <c r="W6" i="14"/>
  <c r="T6" i="14"/>
  <c r="N6" i="14"/>
  <c r="J6" i="14"/>
  <c r="N15" i="14"/>
  <c r="AA3" i="15"/>
  <c r="Q17" i="17"/>
  <c r="P12" i="17"/>
  <c r="D2" i="18"/>
  <c r="AB8" i="18"/>
  <c r="Y12" i="18"/>
  <c r="W17" i="18"/>
  <c r="H2" i="19"/>
  <c r="N6" i="19"/>
  <c r="M8" i="19"/>
  <c r="C12" i="19"/>
  <c r="K13" i="19"/>
  <c r="T14" i="19"/>
  <c r="T12" i="15"/>
  <c r="S13" i="15"/>
  <c r="K2" i="16"/>
  <c r="Q12" i="17"/>
  <c r="F2" i="18"/>
  <c r="C8" i="18"/>
  <c r="Z12" i="18"/>
  <c r="Y17" i="18"/>
  <c r="M2" i="19"/>
  <c r="O6" i="19"/>
  <c r="N8" i="19"/>
  <c r="E12" i="19"/>
  <c r="L13" i="19"/>
  <c r="U14" i="19"/>
  <c r="G2" i="18"/>
  <c r="D8" i="18"/>
  <c r="AA17" i="18"/>
  <c r="N2" i="19"/>
  <c r="R6" i="19"/>
  <c r="O8" i="19"/>
  <c r="F12" i="19"/>
  <c r="M13" i="19"/>
  <c r="V14" i="19"/>
  <c r="AB17" i="18"/>
  <c r="O2" i="19"/>
  <c r="W6" i="19"/>
  <c r="P8" i="19"/>
  <c r="G12" i="19"/>
  <c r="O13" i="19"/>
  <c r="AB14" i="19"/>
  <c r="P2" i="19"/>
  <c r="Q8" i="19"/>
  <c r="P13" i="19"/>
  <c r="N2" i="13"/>
  <c r="P3" i="13"/>
  <c r="P6" i="13"/>
  <c r="R14" i="13"/>
  <c r="Y2" i="14"/>
  <c r="X3" i="14"/>
  <c r="J7" i="14"/>
  <c r="U2" i="15"/>
  <c r="T7" i="15"/>
  <c r="Z12" i="15"/>
  <c r="Z13" i="15"/>
  <c r="AA15" i="15"/>
  <c r="U2" i="16"/>
  <c r="I7" i="16"/>
  <c r="J14" i="16"/>
  <c r="H8" i="17"/>
  <c r="U12" i="17"/>
  <c r="H15" i="17"/>
  <c r="L2" i="18"/>
  <c r="I6" i="18"/>
  <c r="G8" i="18"/>
  <c r="H13" i="18"/>
  <c r="C17" i="18"/>
  <c r="R2" i="19"/>
  <c r="C7" i="19"/>
  <c r="R8" i="19"/>
  <c r="I12" i="19"/>
  <c r="Q13" i="19"/>
  <c r="C15" i="19"/>
  <c r="V2" i="15"/>
  <c r="U7" i="15"/>
  <c r="AA12" i="15"/>
  <c r="AA13" i="15"/>
  <c r="W2" i="16"/>
  <c r="J7" i="16"/>
  <c r="Y14" i="16"/>
  <c r="J8" i="17"/>
  <c r="V12" i="17"/>
  <c r="I15" i="17"/>
  <c r="M2" i="18"/>
  <c r="J6" i="18"/>
  <c r="J8" i="18"/>
  <c r="P13" i="18"/>
  <c r="D17" i="18"/>
  <c r="S2" i="19"/>
  <c r="F7" i="19"/>
  <c r="S8" i="19"/>
  <c r="J12" i="19"/>
  <c r="T13" i="19"/>
  <c r="E15" i="19"/>
  <c r="AB13" i="15"/>
  <c r="X2" i="16"/>
  <c r="N8" i="17"/>
  <c r="W12" i="17"/>
  <c r="N15" i="17"/>
  <c r="N2" i="18"/>
  <c r="K6" i="18"/>
  <c r="K8" i="18"/>
  <c r="E17" i="18"/>
  <c r="U2" i="19"/>
  <c r="G7" i="19"/>
  <c r="T8" i="19"/>
  <c r="L12" i="19"/>
  <c r="V13" i="19"/>
  <c r="F15" i="19"/>
  <c r="G17" i="18"/>
  <c r="V2" i="19"/>
  <c r="H7" i="19"/>
  <c r="V8" i="19"/>
  <c r="P12" i="19"/>
  <c r="W13" i="19"/>
  <c r="G15" i="19"/>
  <c r="AA2" i="15"/>
  <c r="Y7" i="15"/>
  <c r="D12" i="15"/>
  <c r="D13" i="15"/>
  <c r="AA2" i="16"/>
  <c r="O7" i="16"/>
  <c r="X15" i="16"/>
  <c r="Z12" i="17"/>
  <c r="P2" i="18"/>
  <c r="P6" i="18"/>
  <c r="N8" i="18"/>
  <c r="H14" i="18"/>
  <c r="I17" i="18"/>
  <c r="W2" i="19"/>
  <c r="L7" i="19"/>
  <c r="W8" i="19"/>
  <c r="Y13" i="19"/>
  <c r="J15" i="19"/>
  <c r="P7" i="16"/>
  <c r="Q8" i="17"/>
  <c r="AB12" i="17"/>
  <c r="R2" i="18"/>
  <c r="Q6" i="18"/>
  <c r="O8" i="18"/>
  <c r="L14" i="18"/>
  <c r="J17" i="18"/>
  <c r="X2" i="19"/>
  <c r="M7" i="19"/>
  <c r="Y8" i="19"/>
  <c r="R12" i="19"/>
  <c r="Z13" i="19"/>
  <c r="L15" i="19"/>
  <c r="C17" i="19"/>
  <c r="S2" i="18"/>
  <c r="W6" i="18"/>
  <c r="P8" i="18"/>
  <c r="Q14" i="18"/>
  <c r="L17" i="18"/>
  <c r="Z2" i="19"/>
  <c r="R7" i="19"/>
  <c r="Z8" i="19"/>
  <c r="T12" i="19"/>
  <c r="AA13" i="19"/>
  <c r="M15" i="19"/>
  <c r="E17" i="19"/>
  <c r="O15" i="19"/>
  <c r="F17" i="19"/>
  <c r="AB8" i="19"/>
  <c r="V12" i="19"/>
  <c r="F14" i="19"/>
  <c r="P15" i="19"/>
  <c r="G17" i="19"/>
  <c r="K12" i="15"/>
  <c r="I13" i="15"/>
  <c r="S3" i="16"/>
  <c r="U7" i="16"/>
  <c r="U8" i="17"/>
  <c r="E12" i="17"/>
  <c r="N13" i="17"/>
  <c r="X2" i="18"/>
  <c r="S8" i="18"/>
  <c r="V14" i="18"/>
  <c r="O17" i="18"/>
  <c r="C8" i="19"/>
  <c r="Y12" i="19"/>
  <c r="G14" i="19"/>
  <c r="Q15" i="19"/>
  <c r="M17" i="19"/>
  <c r="I3" i="14"/>
  <c r="R13" i="14"/>
  <c r="H2" i="15"/>
  <c r="L12" i="15"/>
  <c r="J13" i="15"/>
  <c r="L17" i="15"/>
  <c r="T3" i="16"/>
  <c r="F12" i="17"/>
  <c r="Y2" i="18"/>
  <c r="T8" i="18"/>
  <c r="X14" i="18"/>
  <c r="P17" i="18"/>
  <c r="D8" i="19"/>
  <c r="AA12" i="19"/>
  <c r="H14" i="19"/>
  <c r="W15" i="19"/>
  <c r="O17" i="19"/>
  <c r="E14" i="13"/>
  <c r="E2" i="14"/>
  <c r="J3" i="14"/>
  <c r="S13" i="14"/>
  <c r="I2" i="15"/>
  <c r="M12" i="15"/>
  <c r="K13" i="15"/>
  <c r="C15" i="15"/>
  <c r="W17" i="15"/>
  <c r="W3" i="16"/>
  <c r="G12" i="17"/>
  <c r="Z2" i="18"/>
  <c r="U8" i="18"/>
  <c r="Y14" i="18"/>
  <c r="Q17" i="18"/>
  <c r="E8" i="19"/>
  <c r="AB12" i="19"/>
  <c r="J14" i="19"/>
  <c r="Y15" i="19"/>
  <c r="Q17" i="19"/>
  <c r="K14" i="19"/>
  <c r="AA15" i="19"/>
  <c r="R17" i="19"/>
  <c r="Z3" i="16"/>
  <c r="AA8" i="17"/>
  <c r="I12" i="17"/>
  <c r="G7" i="18"/>
  <c r="W8" i="18"/>
  <c r="S17" i="18"/>
  <c r="E6" i="19"/>
  <c r="G8" i="19"/>
  <c r="C13" i="19"/>
  <c r="L14" i="19"/>
  <c r="AB15" i="19"/>
  <c r="V17" i="19"/>
  <c r="G6" i="19"/>
  <c r="H8" i="19"/>
  <c r="D13" i="19"/>
  <c r="O14" i="19"/>
  <c r="Y17" i="19"/>
  <c r="K14" i="13"/>
  <c r="M2" i="14"/>
  <c r="M2" i="15"/>
  <c r="M7" i="15"/>
  <c r="Q12" i="15"/>
  <c r="O13" i="15"/>
  <c r="M12" i="17"/>
  <c r="Y8" i="18"/>
  <c r="U17" i="18"/>
  <c r="C2" i="19"/>
  <c r="H6" i="19"/>
  <c r="J8" i="19"/>
  <c r="E13" i="19"/>
  <c r="Q14" i="19"/>
  <c r="AA17" i="19"/>
  <c r="O12" i="17"/>
  <c r="V17" i="18"/>
  <c r="F2" i="19"/>
  <c r="K8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<sst xmlns="http://schemas.openxmlformats.org/spreadsheetml/2006/main" count="3113" uniqueCount="587">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</sst>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169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VT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5.6958812236664541E-3</v>
      </c>
      <c r="C2" s="7">
        <f>$B2 * IFERROR(VLOOKUP("transport|PM25|Premature mortality", US_national_yearly!$D:$AM, 11, FALSE) / VLOOKUP("transport|PM25|Premature mortality", US_national_yearly!$D:$AM, 10, FALSE), 1)</f>
        <v>5.7664976683951957E-3</v>
      </c>
      <c r="D2" s="7">
        <f>$B2 * IFERROR(VLOOKUP("transport|PM25|Premature mortality", US_national_yearly!$D:$AM, 12, FALSE) / VLOOKUP("transport|PM25|Premature mortality", US_national_yearly!$D:$AM, 10, FALSE), 1)</f>
        <v>5.8371141131239365E-3</v>
      </c>
      <c r="E2" s="7">
        <f>$B2 * IFERROR(VLOOKUP("transport|PM25|Premature mortality", US_national_yearly!$D:$AM, 13, FALSE) / VLOOKUP("transport|PM25|Premature mortality", US_national_yearly!$D:$AM, 10, FALSE), 1)</f>
        <v>5.9077305578526772E-3</v>
      </c>
      <c r="F2" s="7">
        <f>$B2 * IFERROR(VLOOKUP("transport|PM25|Premature mortality", US_national_yearly!$D:$AM, 14, FALSE) / VLOOKUP("transport|PM25|Premature mortality", US_national_yearly!$D:$AM, 10, FALSE), 1)</f>
        <v>5.9783470025814179E-3</v>
      </c>
      <c r="G2" s="7">
        <f>$B2 * IFERROR(VLOOKUP("transport|PM25|Premature mortality", US_national_yearly!$D:$AM, 15, FALSE) / VLOOKUP("transport|PM25|Premature mortality", US_national_yearly!$D:$AM, 10, FALSE), 1)</f>
        <v>6.1158719961140222E-3</v>
      </c>
      <c r="H2" s="7">
        <f>$B2 * IFERROR(VLOOKUP("transport|PM25|Premature mortality", US_national_yearly!$D:$AM, 16, FALSE) / VLOOKUP("transport|PM25|Premature mortality", US_national_yearly!$D:$AM, 10, FALSE), 1)</f>
        <v>6.2533969896466255E-3</v>
      </c>
      <c r="I2" s="7">
        <f>$B2 * IFERROR(VLOOKUP("transport|PM25|Premature mortality", US_national_yearly!$D:$AM, 17, FALSE) / VLOOKUP("transport|PM25|Premature mortality", US_national_yearly!$D:$AM, 10, FALSE), 1)</f>
        <v>6.3437291945320677E-3</v>
      </c>
      <c r="J2" s="7">
        <f>$B2 * IFERROR(VLOOKUP("transport|PM25|Premature mortality", US_national_yearly!$D:$AM, 18, FALSE) / VLOOKUP("transport|PM25|Premature mortality", US_national_yearly!$D:$AM, 10, FALSE), 1)</f>
        <v>6.4340613994175126E-3</v>
      </c>
      <c r="K2" s="7">
        <f>$B2 * IFERROR(VLOOKUP("transport|PM25|Premature mortality", US_national_yearly!$D:$AM, 19, FALSE) / VLOOKUP("transport|PM25|Premature mortality", US_national_yearly!$D:$AM, 10, FALSE), 1)</f>
        <v>6.5243936043029565E-3</v>
      </c>
      <c r="L2" s="7">
        <f>$B2 * IFERROR(VLOOKUP("transport|PM25|Premature mortality", US_national_yearly!$D:$AM, 20, FALSE) / VLOOKUP("transport|PM25|Premature mortality", US_national_yearly!$D:$AM, 10, FALSE), 1)</f>
        <v>6.6147258091884004E-3</v>
      </c>
      <c r="M2" s="7">
        <f>$B2 * IFERROR(VLOOKUP("transport|PM25|Premature mortality", US_national_yearly!$D:$AM, 21, FALSE) / VLOOKUP("transport|PM25|Premature mortality", US_national_yearly!$D:$AM, 10, FALSE), 1)</f>
        <v>6.7050580140738444E-3</v>
      </c>
      <c r="N2" s="7">
        <f>$B2 * IFERROR(VLOOKUP("transport|PM25|Premature mortality", US_national_yearly!$D:$AM, 22, FALSE) / VLOOKUP("transport|PM25|Premature mortality", US_national_yearly!$D:$AM, 10, FALSE), 1)</f>
        <v>6.7751952220609837E-3</v>
      </c>
      <c r="O2" s="7">
        <f>$B2 * IFERROR(VLOOKUP("transport|PM25|Premature mortality", US_national_yearly!$D:$AM, 23, FALSE) / VLOOKUP("transport|PM25|Premature mortality", US_national_yearly!$D:$AM, 10, FALSE), 1)</f>
        <v>6.845332430048123E-3</v>
      </c>
      <c r="P2" s="7">
        <f>$B2 * IFERROR(VLOOKUP("transport|PM25|Premature mortality", US_national_yearly!$D:$AM, 24, FALSE) / VLOOKUP("transport|PM25|Premature mortality", US_national_yearly!$D:$AM, 10, FALSE), 1)</f>
        <v>6.9154696380352623E-3</v>
      </c>
      <c r="Q2" s="7">
        <f>$B2 * IFERROR(VLOOKUP("transport|PM25|Premature mortality", US_national_yearly!$D:$AM, 25, FALSE) / VLOOKUP("transport|PM25|Premature mortality", US_national_yearly!$D:$AM, 10, FALSE), 1)</f>
        <v>6.9856068460224015E-3</v>
      </c>
      <c r="R2" s="7">
        <f>$B2 * IFERROR(VLOOKUP("transport|PM25|Premature mortality", US_national_yearly!$D:$AM, 26, FALSE) / VLOOKUP("transport|PM25|Premature mortality", US_national_yearly!$D:$AM, 10, FALSE), 1)</f>
        <v>7.0557440540095417E-3</v>
      </c>
      <c r="S2" s="7">
        <f>$B2 * IFERROR(VLOOKUP("transport|PM25|Premature mortality", US_national_yearly!$D:$AM, 27, FALSE) / VLOOKUP("transport|PM25|Premature mortality", US_national_yearly!$D:$AM, 10, FALSE), 1)</f>
        <v>7.0929006629552229E-3</v>
      </c>
      <c r="T2" s="7">
        <f>$B2 * IFERROR(VLOOKUP("transport|PM25|Premature mortality", US_national_yearly!$D:$AM, 28, FALSE) / VLOOKUP("transport|PM25|Premature mortality", US_national_yearly!$D:$AM, 10, FALSE), 1)</f>
        <v>7.1300572719009032E-3</v>
      </c>
      <c r="U2" s="7">
        <f>$B2 * IFERROR(VLOOKUP("transport|PM25|Premature mortality", US_national_yearly!$D:$AM, 29, FALSE) / VLOOKUP("transport|PM25|Premature mortality", US_national_yearly!$D:$AM, 10, FALSE), 1)</f>
        <v>7.1672138808465836E-3</v>
      </c>
      <c r="V2" s="7">
        <f>$B2 * IFERROR(VLOOKUP("transport|PM25|Premature mortality", US_national_yearly!$D:$AM, 30, FALSE) / VLOOKUP("transport|PM25|Premature mortality", US_national_yearly!$D:$AM, 10, FALSE), 1)</f>
        <v>7.2043704897922639E-3</v>
      </c>
      <c r="W2" s="7">
        <f>$B2 * IFERROR(VLOOKUP("transport|PM25|Premature mortality", US_national_yearly!$D:$AM, 31, FALSE) / VLOOKUP("transport|PM25|Premature mortality", US_national_yearly!$D:$AM, 10, FALSE), 1)</f>
        <v>7.2415270987379434E-3</v>
      </c>
      <c r="X2" s="7">
        <f>$B2 * IFERROR(VLOOKUP("transport|PM25|Premature mortality", US_national_yearly!$D:$AM, 32, FALSE) / VLOOKUP("transport|PM25|Premature mortality", US_national_yearly!$D:$AM, 10, FALSE), 1)</f>
        <v>7.2480242192383771E-3</v>
      </c>
      <c r="Y2" s="7">
        <f>$B2 * IFERROR(VLOOKUP("transport|PM25|Premature mortality", US_national_yearly!$D:$AM, 33, FALSE) / VLOOKUP("transport|PM25|Premature mortality", US_national_yearly!$D:$AM, 10, FALSE), 1)</f>
        <v>7.2545213397388125E-3</v>
      </c>
      <c r="Z2" s="7">
        <f>$B2 * IFERROR(VLOOKUP("transport|PM25|Premature mortality", US_national_yearly!$D:$AM, 34, FALSE) / VLOOKUP("transport|PM25|Premature mortality", US_national_yearly!$D:$AM, 10, FALSE), 1)</f>
        <v>7.2610184602392462E-3</v>
      </c>
      <c r="AA2" s="7">
        <f>$B2 * IFERROR(VLOOKUP("transport|PM25|Premature mortality", US_national_yearly!$D:$AM, 35, FALSE) / VLOOKUP("transport|PM25|Premature mortality", US_national_yearly!$D:$AM, 10, FALSE), 1)</f>
        <v>7.2675155807396807E-3</v>
      </c>
      <c r="AB2" s="7">
        <f>$B2 * IFERROR(VLOOKUP("transport|PM25|Premature mortality", US_national_yearly!$D:$AM, 36, FALSE) / VLOOKUP("transport|PM25|Premature mortality", US_national_yearly!$D:$AM, 10, FALSE), 1)</f>
        <v>7.2740127012401144E-3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7.6217932242475043E-6</v>
      </c>
      <c r="C3" s="7">
        <f>$B3 * IFERROR(VLOOKUP("transport|PM25|Infant mortality", US_national_yearly!$D:$AM, 11, FALSE) / VLOOKUP("transport|PM25|Infant mortality", US_national_yearly!$D:$AM, 10, FALSE), 1)</f>
        <v>7.5553381422679572E-6</v>
      </c>
      <c r="D3" s="7">
        <f>$B3 * IFERROR(VLOOKUP("transport|PM25|Infant mortality", US_national_yearly!$D:$AM, 12, FALSE) / VLOOKUP("transport|PM25|Infant mortality", US_national_yearly!$D:$AM, 10, FALSE), 1)</f>
        <v>7.4888830602884083E-6</v>
      </c>
      <c r="E3" s="7">
        <f>$B3 * IFERROR(VLOOKUP("transport|PM25|Infant mortality", US_national_yearly!$D:$AM, 13, FALSE) / VLOOKUP("transport|PM25|Infant mortality", US_national_yearly!$D:$AM, 10, FALSE), 1)</f>
        <v>7.4224279783088612E-6</v>
      </c>
      <c r="F3" s="7">
        <f>$B3 * IFERROR(VLOOKUP("transport|PM25|Infant mortality", US_national_yearly!$D:$AM, 14, FALSE) / VLOOKUP("transport|PM25|Infant mortality", US_national_yearly!$D:$AM, 10, FALSE), 1)</f>
        <v>7.3559728963293115E-6</v>
      </c>
      <c r="G3" s="7">
        <f>$B3 * IFERROR(VLOOKUP("transport|PM25|Infant mortality", US_national_yearly!$D:$AM, 15, FALSE) / VLOOKUP("transport|PM25|Infant mortality", US_national_yearly!$D:$AM, 10, FALSE), 1)</f>
        <v>4.8921154614381178E-6</v>
      </c>
      <c r="H3" s="7">
        <f>$B3 * IFERROR(VLOOKUP("transport|PM25|Infant mortality", US_national_yearly!$D:$AM, 16, FALSE) / VLOOKUP("transport|PM25|Infant mortality", US_national_yearly!$D:$AM, 10, FALSE), 1)</f>
        <v>2.4282580265469217E-6</v>
      </c>
      <c r="I3" s="7">
        <f>$B3 * IFERROR(VLOOKUP("transport|PM25|Infant mortality", US_national_yearly!$D:$AM, 17, FALSE) / VLOOKUP("transport|PM25|Infant mortality", US_national_yearly!$D:$AM, 10, FALSE), 1)</f>
        <v>2.4123853492188899E-6</v>
      </c>
      <c r="J3" s="7">
        <f>$B3 * IFERROR(VLOOKUP("transport|PM25|Infant mortality", US_national_yearly!$D:$AM, 18, FALSE) / VLOOKUP("transport|PM25|Infant mortality", US_national_yearly!$D:$AM, 10, FALSE), 1)</f>
        <v>2.3965126718908582E-6</v>
      </c>
      <c r="K3" s="7">
        <f>$B3 * IFERROR(VLOOKUP("transport|PM25|Infant mortality", US_national_yearly!$D:$AM, 19, FALSE) / VLOOKUP("transport|PM25|Infant mortality", US_national_yearly!$D:$AM, 10, FALSE), 1)</f>
        <v>2.380639994562826E-6</v>
      </c>
      <c r="L3" s="7">
        <f>$B3 * IFERROR(VLOOKUP("transport|PM25|Infant mortality", US_national_yearly!$D:$AM, 20, FALSE) / VLOOKUP("transport|PM25|Infant mortality", US_national_yearly!$D:$AM, 10, FALSE), 1)</f>
        <v>2.3647673172347943E-6</v>
      </c>
      <c r="M3" s="7">
        <f>$B3 * IFERROR(VLOOKUP("transport|PM25|Infant mortality", US_national_yearly!$D:$AM, 21, FALSE) / VLOOKUP("transport|PM25|Infant mortality", US_national_yearly!$D:$AM, 10, FALSE), 1)</f>
        <v>2.348894639906763E-6</v>
      </c>
      <c r="N3" s="7">
        <f>$B3 * IFERROR(VLOOKUP("transport|PM25|Infant mortality", US_national_yearly!$D:$AM, 22, FALSE) / VLOOKUP("transport|PM25|Infant mortality", US_national_yearly!$D:$AM, 10, FALSE), 1)</f>
        <v>2.3389248412677551E-6</v>
      </c>
      <c r="O3" s="7">
        <f>$B3 * IFERROR(VLOOKUP("transport|PM25|Infant mortality", US_national_yearly!$D:$AM, 23, FALSE) / VLOOKUP("transport|PM25|Infant mortality", US_national_yearly!$D:$AM, 10, FALSE), 1)</f>
        <v>2.3289550426287477E-6</v>
      </c>
      <c r="P3" s="7">
        <f>$B3 * IFERROR(VLOOKUP("transport|PM25|Infant mortality", US_national_yearly!$D:$AM, 24, FALSE) / VLOOKUP("transport|PM25|Infant mortality", US_national_yearly!$D:$AM, 10, FALSE), 1)</f>
        <v>2.3189852439897395E-6</v>
      </c>
      <c r="Q3" s="7">
        <f>$B3 * IFERROR(VLOOKUP("transport|PM25|Infant mortality", US_national_yearly!$D:$AM, 25, FALSE) / VLOOKUP("transport|PM25|Infant mortality", US_national_yearly!$D:$AM, 10, FALSE), 1)</f>
        <v>2.3090154453507321E-6</v>
      </c>
      <c r="R3" s="7">
        <f>$B3 * IFERROR(VLOOKUP("transport|PM25|Infant mortality", US_national_yearly!$D:$AM, 26, FALSE) / VLOOKUP("transport|PM25|Infant mortality", US_national_yearly!$D:$AM, 10, FALSE), 1)</f>
        <v>2.2990456467117242E-6</v>
      </c>
      <c r="S3" s="7">
        <f>$B3 * IFERROR(VLOOKUP("transport|PM25|Infant mortality", US_national_yearly!$D:$AM, 27, FALSE) / VLOOKUP("transport|PM25|Infant mortality", US_national_yearly!$D:$AM, 10, FALSE), 1)</f>
        <v>2.2866180888597302E-6</v>
      </c>
      <c r="T3" s="7">
        <f>$B3 * IFERROR(VLOOKUP("transport|PM25|Infant mortality", US_national_yearly!$D:$AM, 28, FALSE) / VLOOKUP("transport|PM25|Infant mortality", US_national_yearly!$D:$AM, 10, FALSE), 1)</f>
        <v>2.2741905310077353E-6</v>
      </c>
      <c r="U3" s="7">
        <f>$B3 * IFERROR(VLOOKUP("transport|PM25|Infant mortality", US_national_yearly!$D:$AM, 29, FALSE) / VLOOKUP("transport|PM25|Infant mortality", US_national_yearly!$D:$AM, 10, FALSE), 1)</f>
        <v>2.2617629731557409E-6</v>
      </c>
      <c r="V3" s="7">
        <f>$B3 * IFERROR(VLOOKUP("transport|PM25|Infant mortality", US_national_yearly!$D:$AM, 30, FALSE) / VLOOKUP("transport|PM25|Infant mortality", US_national_yearly!$D:$AM, 10, FALSE), 1)</f>
        <v>2.2493354153037469E-6</v>
      </c>
      <c r="W3" s="7">
        <f>$B3 * IFERROR(VLOOKUP("transport|PM25|Infant mortality", US_national_yearly!$D:$AM, 31, FALSE) / VLOOKUP("transport|PM25|Infant mortality", US_national_yearly!$D:$AM, 10, FALSE), 1)</f>
        <v>2.236907857451752E-6</v>
      </c>
      <c r="X3" s="7">
        <f>$B3 * IFERROR(VLOOKUP("transport|PM25|Infant mortality", US_national_yearly!$D:$AM, 32, FALSE) / VLOOKUP("transport|PM25|Infant mortality", US_national_yearly!$D:$AM, 10, FALSE), 1)</f>
        <v>2.2235093881071507E-6</v>
      </c>
      <c r="Y3" s="7">
        <f>$B3 * IFERROR(VLOOKUP("transport|PM25|Infant mortality", US_national_yearly!$D:$AM, 33, FALSE) / VLOOKUP("transport|PM25|Infant mortality", US_national_yearly!$D:$AM, 10, FALSE), 1)</f>
        <v>2.2101109187625484E-6</v>
      </c>
      <c r="Z3" s="7">
        <f>$B3 * IFERROR(VLOOKUP("transport|PM25|Infant mortality", US_national_yearly!$D:$AM, 34, FALSE) / VLOOKUP("transport|PM25|Infant mortality", US_national_yearly!$D:$AM, 10, FALSE), 1)</f>
        <v>2.1967124494179475E-6</v>
      </c>
      <c r="AA3" s="7">
        <f>$B3 * IFERROR(VLOOKUP("transport|PM25|Infant mortality", US_national_yearly!$D:$AM, 35, FALSE) / VLOOKUP("transport|PM25|Infant mortality", US_national_yearly!$D:$AM, 10, FALSE), 1)</f>
        <v>2.1833139800733457E-6</v>
      </c>
      <c r="AB3" s="7">
        <f>$B3 * IFERROR(VLOOKUP("transport|PM25|Infant mortality", US_national_yearly!$D:$AM, 36, FALSE) / VLOOKUP("transport|PM25|Infant mortality", US_national_yearly!$D:$AM, 10, FALSE), 1)</f>
        <v>2.1699155107287443E-6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1.173008509613061E-2</v>
      </c>
      <c r="C6" s="7">
        <f>$B6 * IFERROR(VLOOKUP("transport|PM25|Asthma symptoms cough", US_national_yearly!$D:$AM, 11, FALSE) / VLOOKUP("transport|PM25|Asthma symptoms cough", US_national_yearly!$D:$AM, 10, FALSE), 1)</f>
        <v>1.173008509613061E-2</v>
      </c>
      <c r="D6" s="7">
        <f>$B6 * IFERROR(VLOOKUP("transport|PM25|Asthma symptoms cough", US_national_yearly!$D:$AM, 12, FALSE) / VLOOKUP("transport|PM25|Asthma symptoms cough", US_national_yearly!$D:$AM, 10, FALSE), 1)</f>
        <v>1.173008509613061E-2</v>
      </c>
      <c r="E6" s="7">
        <f>$B6 * IFERROR(VLOOKUP("transport|PM25|Asthma symptoms cough", US_national_yearly!$D:$AM, 13, FALSE) / VLOOKUP("transport|PM25|Asthma symptoms cough", US_national_yearly!$D:$AM, 10, FALSE), 1)</f>
        <v>1.173008509613061E-2</v>
      </c>
      <c r="F6" s="7">
        <f>$B6 * IFERROR(VLOOKUP("transport|PM25|Asthma symptoms cough", US_national_yearly!$D:$AM, 14, FALSE) / VLOOKUP("transport|PM25|Asthma symptoms cough", US_national_yearly!$D:$AM, 10, FALSE), 1)</f>
        <v>1.173008509613061E-2</v>
      </c>
      <c r="G6" s="7">
        <f>$B6 * IFERROR(VLOOKUP("transport|PM25|Asthma symptoms cough", US_national_yearly!$D:$AM, 15, FALSE) / VLOOKUP("transport|PM25|Asthma symptoms cough", US_national_yearly!$D:$AM, 10, FALSE), 1)</f>
        <v>1.173008509613061E-2</v>
      </c>
      <c r="H6" s="7">
        <f>$B6 * IFERROR(VLOOKUP("transport|PM25|Asthma symptoms cough", US_national_yearly!$D:$AM, 16, FALSE) / VLOOKUP("transport|PM25|Asthma symptoms cough", US_national_yearly!$D:$AM, 10, FALSE), 1)</f>
        <v>1.173008509613061E-2</v>
      </c>
      <c r="I6" s="7">
        <f>$B6 * IFERROR(VLOOKUP("transport|PM25|Asthma symptoms cough", US_national_yearly!$D:$AM, 17, FALSE) / VLOOKUP("transport|PM25|Asthma symptoms cough", US_national_yearly!$D:$AM, 10, FALSE), 1)</f>
        <v>1.173008509613061E-2</v>
      </c>
      <c r="J6" s="7">
        <f>$B6 * IFERROR(VLOOKUP("transport|PM25|Asthma symptoms cough", US_national_yearly!$D:$AM, 18, FALSE) / VLOOKUP("transport|PM25|Asthma symptoms cough", US_national_yearly!$D:$AM, 10, FALSE), 1)</f>
        <v>1.173008509613061E-2</v>
      </c>
      <c r="K6" s="7">
        <f>$B6 * IFERROR(VLOOKUP("transport|PM25|Asthma symptoms cough", US_national_yearly!$D:$AM, 19, FALSE) / VLOOKUP("transport|PM25|Asthma symptoms cough", US_national_yearly!$D:$AM, 10, FALSE), 1)</f>
        <v>1.173008509613061E-2</v>
      </c>
      <c r="L6" s="7">
        <f>$B6 * IFERROR(VLOOKUP("transport|PM25|Asthma symptoms cough", US_national_yearly!$D:$AM, 20, FALSE) / VLOOKUP("transport|PM25|Asthma symptoms cough", US_national_yearly!$D:$AM, 10, FALSE), 1)</f>
        <v>1.173008509613061E-2</v>
      </c>
      <c r="M6" s="7">
        <f>$B6 * IFERROR(VLOOKUP("transport|PM25|Asthma symptoms cough", US_national_yearly!$D:$AM, 21, FALSE) / VLOOKUP("transport|PM25|Asthma symptoms cough", US_national_yearly!$D:$AM, 10, FALSE), 1)</f>
        <v>1.173008509613061E-2</v>
      </c>
      <c r="N6" s="7">
        <f>$B6 * IFERROR(VLOOKUP("transport|PM25|Asthma symptoms cough", US_national_yearly!$D:$AM, 22, FALSE) / VLOOKUP("transport|PM25|Asthma symptoms cough", US_national_yearly!$D:$AM, 10, FALSE), 1)</f>
        <v>1.173008509613061E-2</v>
      </c>
      <c r="O6" s="7">
        <f>$B6 * IFERROR(VLOOKUP("transport|PM25|Asthma symptoms cough", US_national_yearly!$D:$AM, 23, FALSE) / VLOOKUP("transport|PM25|Asthma symptoms cough", US_national_yearly!$D:$AM, 10, FALSE), 1)</f>
        <v>1.173008509613061E-2</v>
      </c>
      <c r="P6" s="7">
        <f>$B6 * IFERROR(VLOOKUP("transport|PM25|Asthma symptoms cough", US_national_yearly!$D:$AM, 24, FALSE) / VLOOKUP("transport|PM25|Asthma symptoms cough", US_national_yearly!$D:$AM, 10, FALSE), 1)</f>
        <v>1.173008509613061E-2</v>
      </c>
      <c r="Q6" s="7">
        <f>$B6 * IFERROR(VLOOKUP("transport|PM25|Asthma symptoms cough", US_national_yearly!$D:$AM, 25, FALSE) / VLOOKUP("transport|PM25|Asthma symptoms cough", US_national_yearly!$D:$AM, 10, FALSE), 1)</f>
        <v>1.173008509613061E-2</v>
      </c>
      <c r="R6" s="7">
        <f>$B6 * IFERROR(VLOOKUP("transport|PM25|Asthma symptoms cough", US_national_yearly!$D:$AM, 26, FALSE) / VLOOKUP("transport|PM25|Asthma symptoms cough", US_national_yearly!$D:$AM, 10, FALSE), 1)</f>
        <v>1.173008509613061E-2</v>
      </c>
      <c r="S6" s="7">
        <f>$B6 * IFERROR(VLOOKUP("transport|PM25|Asthma symptoms cough", US_national_yearly!$D:$AM, 27, FALSE) / VLOOKUP("transport|PM25|Asthma symptoms cough", US_national_yearly!$D:$AM, 10, FALSE), 1)</f>
        <v>1.173008509613061E-2</v>
      </c>
      <c r="T6" s="7">
        <f>$B6 * IFERROR(VLOOKUP("transport|PM25|Asthma symptoms cough", US_national_yearly!$D:$AM, 28, FALSE) / VLOOKUP("transport|PM25|Asthma symptoms cough", US_national_yearly!$D:$AM, 10, FALSE), 1)</f>
        <v>1.173008509613061E-2</v>
      </c>
      <c r="U6" s="7">
        <f>$B6 * IFERROR(VLOOKUP("transport|PM25|Asthma symptoms cough", US_national_yearly!$D:$AM, 29, FALSE) / VLOOKUP("transport|PM25|Asthma symptoms cough", US_national_yearly!$D:$AM, 10, FALSE), 1)</f>
        <v>1.173008509613061E-2</v>
      </c>
      <c r="V6" s="7">
        <f>$B6 * IFERROR(VLOOKUP("transport|PM25|Asthma symptoms cough", US_national_yearly!$D:$AM, 30, FALSE) / VLOOKUP("transport|PM25|Asthma symptoms cough", US_national_yearly!$D:$AM, 10, FALSE), 1)</f>
        <v>1.173008509613061E-2</v>
      </c>
      <c r="W6" s="7">
        <f>$B6 * IFERROR(VLOOKUP("transport|PM25|Asthma symptoms cough", US_national_yearly!$D:$AM, 31, FALSE) / VLOOKUP("transport|PM25|Asthma symptoms cough", US_national_yearly!$D:$AM, 10, FALSE), 1)</f>
        <v>1.173008509613061E-2</v>
      </c>
      <c r="X6" s="7">
        <f>$B6 * IFERROR(VLOOKUP("transport|PM25|Asthma symptoms cough", US_national_yearly!$D:$AM, 32, FALSE) / VLOOKUP("transport|PM25|Asthma symptoms cough", US_national_yearly!$D:$AM, 10, FALSE), 1)</f>
        <v>1.173008509613061E-2</v>
      </c>
      <c r="Y6" s="7">
        <f>$B6 * IFERROR(VLOOKUP("transport|PM25|Asthma symptoms cough", US_national_yearly!$D:$AM, 33, FALSE) / VLOOKUP("transport|PM25|Asthma symptoms cough", US_national_yearly!$D:$AM, 10, FALSE), 1)</f>
        <v>1.173008509613061E-2</v>
      </c>
      <c r="Z6" s="7">
        <f>$B6 * IFERROR(VLOOKUP("transport|PM25|Asthma symptoms cough", US_national_yearly!$D:$AM, 34, FALSE) / VLOOKUP("transport|PM25|Asthma symptoms cough", US_national_yearly!$D:$AM, 10, FALSE), 1)</f>
        <v>1.173008509613061E-2</v>
      </c>
      <c r="AA6" s="7">
        <f>$B6 * IFERROR(VLOOKUP("transport|PM25|Asthma symptoms cough", US_national_yearly!$D:$AM, 35, FALSE) / VLOOKUP("transport|PM25|Asthma symptoms cough", US_national_yearly!$D:$AM, 10, FALSE), 1)</f>
        <v>1.173008509613061E-2</v>
      </c>
      <c r="AB6" s="7">
        <f>$B6 * IFERROR(VLOOKUP("transport|PM25|Asthma symptoms cough", US_national_yearly!$D:$AM, 36, FALSE) / VLOOKUP("transport|PM25|Asthma symptoms cough", US_national_yearly!$D:$AM, 10, FALSE), 1)</f>
        <v>1.173008509613061E-2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1.5796181197307822E-2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1.5796181197307822E-2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1.5796181197307822E-2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1.5796181197307822E-2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1.5796181197307822E-2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1.5796181197307822E-2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1.5796181197307822E-2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1.5796181197307822E-2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1.5796181197307822E-2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1.5796181197307822E-2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1.5796181197307822E-2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1.5796181197307822E-2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1.5796181197307822E-2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1.5796181197307822E-2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1.5796181197307822E-2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1.5796181197307822E-2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1.5796181197307822E-2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1.5796181197307822E-2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1.5796181197307822E-2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1.5796181197307822E-2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1.5796181197307822E-2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1.5796181197307822E-2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1.5796181197307822E-2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1.5796181197307822E-2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1.5796181197307822E-2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1.5796181197307822E-2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1.5796181197307822E-2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2.4134174790798567E-2</v>
      </c>
      <c r="C8" s="7">
        <f>$B8 * IFERROR(VLOOKUP("transport|PM25|Asthma symptoms wheeze", US_national_yearly!$D:$AM, 11, FALSE) / VLOOKUP("transport|PM25|Asthma symptoms wheeze", US_national_yearly!$D:$AM, 10, FALSE), 1)</f>
        <v>2.4134174790798567E-2</v>
      </c>
      <c r="D8" s="7">
        <f>$B8 * IFERROR(VLOOKUP("transport|PM25|Asthma symptoms wheeze", US_national_yearly!$D:$AM, 12, FALSE) / VLOOKUP("transport|PM25|Asthma symptoms wheeze", US_national_yearly!$D:$AM, 10, FALSE), 1)</f>
        <v>2.4134174790798567E-2</v>
      </c>
      <c r="E8" s="7">
        <f>$B8 * IFERROR(VLOOKUP("transport|PM25|Asthma symptoms wheeze", US_national_yearly!$D:$AM, 13, FALSE) / VLOOKUP("transport|PM25|Asthma symptoms wheeze", US_national_yearly!$D:$AM, 10, FALSE), 1)</f>
        <v>2.4134174790798567E-2</v>
      </c>
      <c r="F8" s="7">
        <f>$B8 * IFERROR(VLOOKUP("transport|PM25|Asthma symptoms wheeze", US_national_yearly!$D:$AM, 14, FALSE) / VLOOKUP("transport|PM25|Asthma symptoms wheeze", US_national_yearly!$D:$AM, 10, FALSE), 1)</f>
        <v>2.4134174790798567E-2</v>
      </c>
      <c r="G8" s="7">
        <f>$B8 * IFERROR(VLOOKUP("transport|PM25|Asthma symptoms wheeze", US_national_yearly!$D:$AM, 15, FALSE) / VLOOKUP("transport|PM25|Asthma symptoms wheeze", US_national_yearly!$D:$AM, 10, FALSE), 1)</f>
        <v>2.4134174790798567E-2</v>
      </c>
      <c r="H8" s="7">
        <f>$B8 * IFERROR(VLOOKUP("transport|PM25|Asthma symptoms wheeze", US_national_yearly!$D:$AM, 16, FALSE) / VLOOKUP("transport|PM25|Asthma symptoms wheeze", US_national_yearly!$D:$AM, 10, FALSE), 1)</f>
        <v>2.4134174790798567E-2</v>
      </c>
      <c r="I8" s="7">
        <f>$B8 * IFERROR(VLOOKUP("transport|PM25|Asthma symptoms wheeze", US_national_yearly!$D:$AM, 17, FALSE) / VLOOKUP("transport|PM25|Asthma symptoms wheeze", US_national_yearly!$D:$AM, 10, FALSE), 1)</f>
        <v>2.4134174790798567E-2</v>
      </c>
      <c r="J8" s="7">
        <f>$B8 * IFERROR(VLOOKUP("transport|PM25|Asthma symptoms wheeze", US_national_yearly!$D:$AM, 18, FALSE) / VLOOKUP("transport|PM25|Asthma symptoms wheeze", US_national_yearly!$D:$AM, 10, FALSE), 1)</f>
        <v>2.4134174790798567E-2</v>
      </c>
      <c r="K8" s="7">
        <f>$B8 * IFERROR(VLOOKUP("transport|PM25|Asthma symptoms wheeze", US_national_yearly!$D:$AM, 19, FALSE) / VLOOKUP("transport|PM25|Asthma symptoms wheeze", US_national_yearly!$D:$AM, 10, FALSE), 1)</f>
        <v>2.4134174790798567E-2</v>
      </c>
      <c r="L8" s="7">
        <f>$B8 * IFERROR(VLOOKUP("transport|PM25|Asthma symptoms wheeze", US_national_yearly!$D:$AM, 20, FALSE) / VLOOKUP("transport|PM25|Asthma symptoms wheeze", US_national_yearly!$D:$AM, 10, FALSE), 1)</f>
        <v>2.4134174790798567E-2</v>
      </c>
      <c r="M8" s="7">
        <f>$B8 * IFERROR(VLOOKUP("transport|PM25|Asthma symptoms wheeze", US_national_yearly!$D:$AM, 21, FALSE) / VLOOKUP("transport|PM25|Asthma symptoms wheeze", US_national_yearly!$D:$AM, 10, FALSE), 1)</f>
        <v>2.4134174790798567E-2</v>
      </c>
      <c r="N8" s="7">
        <f>$B8 * IFERROR(VLOOKUP("transport|PM25|Asthma symptoms wheeze", US_national_yearly!$D:$AM, 22, FALSE) / VLOOKUP("transport|PM25|Asthma symptoms wheeze", US_national_yearly!$D:$AM, 10, FALSE), 1)</f>
        <v>2.4134174790798567E-2</v>
      </c>
      <c r="O8" s="7">
        <f>$B8 * IFERROR(VLOOKUP("transport|PM25|Asthma symptoms wheeze", US_national_yearly!$D:$AM, 23, FALSE) / VLOOKUP("transport|PM25|Asthma symptoms wheeze", US_national_yearly!$D:$AM, 10, FALSE), 1)</f>
        <v>2.4134174790798567E-2</v>
      </c>
      <c r="P8" s="7">
        <f>$B8 * IFERROR(VLOOKUP("transport|PM25|Asthma symptoms wheeze", US_national_yearly!$D:$AM, 24, FALSE) / VLOOKUP("transport|PM25|Asthma symptoms wheeze", US_national_yearly!$D:$AM, 10, FALSE), 1)</f>
        <v>2.4134174790798567E-2</v>
      </c>
      <c r="Q8" s="7">
        <f>$B8 * IFERROR(VLOOKUP("transport|PM25|Asthma symptoms wheeze", US_national_yearly!$D:$AM, 25, FALSE) / VLOOKUP("transport|PM25|Asthma symptoms wheeze", US_national_yearly!$D:$AM, 10, FALSE), 1)</f>
        <v>2.4134174790798567E-2</v>
      </c>
      <c r="R8" s="7">
        <f>$B8 * IFERROR(VLOOKUP("transport|PM25|Asthma symptoms wheeze", US_national_yearly!$D:$AM, 26, FALSE) / VLOOKUP("transport|PM25|Asthma symptoms wheeze", US_national_yearly!$D:$AM, 10, FALSE), 1)</f>
        <v>2.4134174790798567E-2</v>
      </c>
      <c r="S8" s="7">
        <f>$B8 * IFERROR(VLOOKUP("transport|PM25|Asthma symptoms wheeze", US_national_yearly!$D:$AM, 27, FALSE) / VLOOKUP("transport|PM25|Asthma symptoms wheeze", US_national_yearly!$D:$AM, 10, FALSE), 1)</f>
        <v>2.4134174790798567E-2</v>
      </c>
      <c r="T8" s="7">
        <f>$B8 * IFERROR(VLOOKUP("transport|PM25|Asthma symptoms wheeze", US_national_yearly!$D:$AM, 28, FALSE) / VLOOKUP("transport|PM25|Asthma symptoms wheeze", US_national_yearly!$D:$AM, 10, FALSE), 1)</f>
        <v>2.4134174790798567E-2</v>
      </c>
      <c r="U8" s="7">
        <f>$B8 * IFERROR(VLOOKUP("transport|PM25|Asthma symptoms wheeze", US_national_yearly!$D:$AM, 29, FALSE) / VLOOKUP("transport|PM25|Asthma symptoms wheeze", US_national_yearly!$D:$AM, 10, FALSE), 1)</f>
        <v>2.4134174790798567E-2</v>
      </c>
      <c r="V8" s="7">
        <f>$B8 * IFERROR(VLOOKUP("transport|PM25|Asthma symptoms wheeze", US_national_yearly!$D:$AM, 30, FALSE) / VLOOKUP("transport|PM25|Asthma symptoms wheeze", US_national_yearly!$D:$AM, 10, FALSE), 1)</f>
        <v>2.4134174790798567E-2</v>
      </c>
      <c r="W8" s="7">
        <f>$B8 * IFERROR(VLOOKUP("transport|PM25|Asthma symptoms wheeze", US_national_yearly!$D:$AM, 31, FALSE) / VLOOKUP("transport|PM25|Asthma symptoms wheeze", US_national_yearly!$D:$AM, 10, FALSE), 1)</f>
        <v>2.4134174790798567E-2</v>
      </c>
      <c r="X8" s="7">
        <f>$B8 * IFERROR(VLOOKUP("transport|PM25|Asthma symptoms wheeze", US_national_yearly!$D:$AM, 32, FALSE) / VLOOKUP("transport|PM25|Asthma symptoms wheeze", US_national_yearly!$D:$AM, 10, FALSE), 1)</f>
        <v>2.4134174790798567E-2</v>
      </c>
      <c r="Y8" s="7">
        <f>$B8 * IFERROR(VLOOKUP("transport|PM25|Asthma symptoms wheeze", US_national_yearly!$D:$AM, 33, FALSE) / VLOOKUP("transport|PM25|Asthma symptoms wheeze", US_national_yearly!$D:$AM, 10, FALSE), 1)</f>
        <v>2.4134174790798567E-2</v>
      </c>
      <c r="Z8" s="7">
        <f>$B8 * IFERROR(VLOOKUP("transport|PM25|Asthma symptoms wheeze", US_national_yearly!$D:$AM, 34, FALSE) / VLOOKUP("transport|PM25|Asthma symptoms wheeze", US_national_yearly!$D:$AM, 10, FALSE), 1)</f>
        <v>2.4134174790798567E-2</v>
      </c>
      <c r="AA8" s="7">
        <f>$B8 * IFERROR(VLOOKUP("transport|PM25|Asthma symptoms wheeze", US_national_yearly!$D:$AM, 35, FALSE) / VLOOKUP("transport|PM25|Asthma symptoms wheeze", US_national_yearly!$D:$AM, 10, FALSE), 1)</f>
        <v>2.4134174790798567E-2</v>
      </c>
      <c r="AB8" s="7">
        <f>$B8 * IFERROR(VLOOKUP("transport|PM25|Asthma symptoms wheeze", US_national_yearly!$D:$AM, 36, FALSE) / VLOOKUP("transport|PM25|Asthma symptoms wheeze", US_national_yearly!$D:$AM, 10, FALSE), 1)</f>
        <v>2.4134174790798567E-2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4.3662951190116074E-4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4.391320962768178E-4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4.4163468065247475E-4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4.4413726502813181E-4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4.4663984940378876E-4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4.493427472779248E-4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4.5204564515206083E-4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4.5462816137821499E-4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4.5721067760436942E-4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4.5979319383052369E-4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4.6237571005667812E-4</v>
      </c>
      <c r="M12" s="7">
        <f>$B12 * IFERROR(VLOOKUP("transport|PM25|Respiratory hospital admissions", US_national_yearly!$D:$AM, 21, FALSE) / VLOOKUP("transport|PM25|Respiratory hospital admissions", US_national_yearly!$D:$AM, 10, FALSE), 1)</f>
        <v>4.6495822628283228E-4</v>
      </c>
      <c r="N12" s="7">
        <f>$B12 * IFERROR(VLOOKUP("transport|PM25|Respiratory hospital admissions", US_national_yearly!$D:$AM, 22, FALSE) / VLOOKUP("transport|PM25|Respiratory hospital admissions", US_national_yearly!$D:$AM, 10, FALSE), 1)</f>
        <v>4.6681177354089022E-4</v>
      </c>
      <c r="O12" s="7">
        <f>$B12 * IFERROR(VLOOKUP("transport|PM25|Respiratory hospital admissions", US_national_yearly!$D:$AM, 23, FALSE) / VLOOKUP("transport|PM25|Respiratory hospital admissions", US_national_yearly!$D:$AM, 10, FALSE), 1)</f>
        <v>4.6866532079894801E-4</v>
      </c>
      <c r="P12" s="7">
        <f>$B12 * IFERROR(VLOOKUP("transport|PM25|Respiratory hospital admissions", US_national_yearly!$D:$AM, 24, FALSE) / VLOOKUP("transport|PM25|Respiratory hospital admissions", US_national_yearly!$D:$AM, 10, FALSE), 1)</f>
        <v>4.7051886805700574E-4</v>
      </c>
      <c r="Q12" s="7">
        <f>$B12 * IFERROR(VLOOKUP("transport|PM25|Respiratory hospital admissions", US_national_yearly!$D:$AM, 25, FALSE) / VLOOKUP("transport|PM25|Respiratory hospital admissions", US_national_yearly!$D:$AM, 10, FALSE), 1)</f>
        <v>4.7237241531506352E-4</v>
      </c>
      <c r="R12" s="7">
        <f>$B12 * IFERROR(VLOOKUP("transport|PM25|Respiratory hospital admissions", US_national_yearly!$D:$AM, 26, FALSE) / VLOOKUP("transport|PM25|Respiratory hospital admissions", US_national_yearly!$D:$AM, 10, FALSE), 1)</f>
        <v>4.7422596257312146E-4</v>
      </c>
      <c r="S12" s="7">
        <f>$B12 * IFERROR(VLOOKUP("transport|PM25|Respiratory hospital admissions", US_national_yearly!$D:$AM, 27, FALSE) / VLOOKUP("transport|PM25|Respiratory hospital admissions", US_national_yearly!$D:$AM, 10, FALSE), 1)</f>
        <v>4.7599078380076683E-4</v>
      </c>
      <c r="T12" s="7">
        <f>$B12 * IFERROR(VLOOKUP("transport|PM25|Respiratory hospital admissions", US_national_yearly!$D:$AM, 28, FALSE) / VLOOKUP("transport|PM25|Respiratory hospital admissions", US_national_yearly!$D:$AM, 10, FALSE), 1)</f>
        <v>4.7775560502841231E-4</v>
      </c>
      <c r="U12" s="7">
        <f>$B12 * IFERROR(VLOOKUP("transport|PM25|Respiratory hospital admissions", US_national_yearly!$D:$AM, 29, FALSE) / VLOOKUP("transport|PM25|Respiratory hospital admissions", US_national_yearly!$D:$AM, 10, FALSE), 1)</f>
        <v>4.7952042625605768E-4</v>
      </c>
      <c r="V12" s="7">
        <f>$B12 * IFERROR(VLOOKUP("transport|PM25|Respiratory hospital admissions", US_national_yearly!$D:$AM, 30, FALSE) / VLOOKUP("transport|PM25|Respiratory hospital admissions", US_national_yearly!$D:$AM, 10, FALSE), 1)</f>
        <v>4.8128524748370304E-4</v>
      </c>
      <c r="W12" s="7">
        <f>$B12 * IFERROR(VLOOKUP("transport|PM25|Respiratory hospital admissions", US_national_yearly!$D:$AM, 31, FALSE) / VLOOKUP("transport|PM25|Respiratory hospital admissions", US_national_yearly!$D:$AM, 10, FALSE), 1)</f>
        <v>4.8305006871134841E-4</v>
      </c>
      <c r="X12" s="7">
        <f>$B12 * IFERROR(VLOOKUP("transport|PM25|Respiratory hospital admissions", US_national_yearly!$D:$AM, 32, FALSE) / VLOOKUP("transport|PM25|Respiratory hospital admissions", US_national_yearly!$D:$AM, 10, FALSE), 1)</f>
        <v>4.8474784924470321E-4</v>
      </c>
      <c r="Y12" s="7">
        <f>$B12 * IFERROR(VLOOKUP("transport|PM25|Respiratory hospital admissions", US_national_yearly!$D:$AM, 33, FALSE) / VLOOKUP("transport|PM25|Respiratory hospital admissions", US_national_yearly!$D:$AM, 10, FALSE), 1)</f>
        <v>4.8644562977805784E-4</v>
      </c>
      <c r="Z12" s="7">
        <f>$B12 * IFERROR(VLOOKUP("transport|PM25|Respiratory hospital admissions", US_national_yearly!$D:$AM, 34, FALSE) / VLOOKUP("transport|PM25|Respiratory hospital admissions", US_national_yearly!$D:$AM, 10, FALSE), 1)</f>
        <v>4.8814341031141252E-4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4.8984119084476716E-4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4.9153897137812184E-4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1.9623755828652419E-3</v>
      </c>
      <c r="C13" s="7">
        <f>$B13 * IFERROR(VLOOKUP("transport|PM25|Non-fatal heart attacks", US_national_yearly!$D:$AM, 11, FALSE) / VLOOKUP("transport|PM25|Non-fatal heart attacks", US_national_yearly!$D:$AM, 10, FALSE), 1)</f>
        <v>2.0194270486079279E-3</v>
      </c>
      <c r="D13" s="7">
        <f>$B13 * IFERROR(VLOOKUP("transport|PM25|Non-fatal heart attacks", US_national_yearly!$D:$AM, 12, FALSE) / VLOOKUP("transport|PM25|Non-fatal heart attacks", US_national_yearly!$D:$AM, 10, FALSE), 1)</f>
        <v>2.0764785143506138E-3</v>
      </c>
      <c r="E13" s="7">
        <f>$B13 * IFERROR(VLOOKUP("transport|PM25|Non-fatal heart attacks", US_national_yearly!$D:$AM, 13, FALSE) / VLOOKUP("transport|PM25|Non-fatal heart attacks", US_national_yearly!$D:$AM, 10, FALSE), 1)</f>
        <v>2.1335299800932994E-3</v>
      </c>
      <c r="F13" s="7">
        <f>$B13 * IFERROR(VLOOKUP("transport|PM25|Non-fatal heart attacks", US_national_yearly!$D:$AM, 14, FALSE) / VLOOKUP("transport|PM25|Non-fatal heart attacks", US_national_yearly!$D:$AM, 10, FALSE), 1)</f>
        <v>2.1905814458359854E-3</v>
      </c>
      <c r="G13" s="7">
        <f>$B13 * IFERROR(VLOOKUP("transport|PM25|Non-fatal heart attacks", US_national_yearly!$D:$AM, 15, FALSE) / VLOOKUP("transport|PM25|Non-fatal heart attacks", US_national_yearly!$D:$AM, 10, FALSE), 1)</f>
        <v>2.2443845847550784E-3</v>
      </c>
      <c r="H13" s="7">
        <f>$B13 * IFERROR(VLOOKUP("transport|PM25|Non-fatal heart attacks", US_national_yearly!$D:$AM, 16, FALSE) / VLOOKUP("transport|PM25|Non-fatal heart attacks", US_national_yearly!$D:$AM, 10, FALSE), 1)</f>
        <v>2.2981877236741711E-3</v>
      </c>
      <c r="I13" s="7">
        <f>$B13 * IFERROR(VLOOKUP("transport|PM25|Non-fatal heart attacks", US_national_yearly!$D:$AM, 17, FALSE) / VLOOKUP("transport|PM25|Non-fatal heart attacks", US_national_yearly!$D:$AM, 10, FALSE), 1)</f>
        <v>2.3414275441013301E-3</v>
      </c>
      <c r="J13" s="7">
        <f>$B13 * IFERROR(VLOOKUP("transport|PM25|Non-fatal heart attacks", US_national_yearly!$D:$AM, 18, FALSE) / VLOOKUP("transport|PM25|Non-fatal heart attacks", US_national_yearly!$D:$AM, 10, FALSE), 1)</f>
        <v>2.3846673645284886E-3</v>
      </c>
      <c r="K13" s="7">
        <f>$B13 * IFERROR(VLOOKUP("transport|PM25|Non-fatal heart attacks", US_national_yearly!$D:$AM, 19, FALSE) / VLOOKUP("transport|PM25|Non-fatal heart attacks", US_national_yearly!$D:$AM, 10, FALSE), 1)</f>
        <v>2.427907184955648E-3</v>
      </c>
      <c r="L13" s="7">
        <f>$B13 * IFERROR(VLOOKUP("transport|PM25|Non-fatal heart attacks", US_national_yearly!$D:$AM, 20, FALSE) / VLOOKUP("transport|PM25|Non-fatal heart attacks", US_national_yearly!$D:$AM, 10, FALSE), 1)</f>
        <v>2.4711470053828065E-3</v>
      </c>
      <c r="M13" s="7">
        <f>$B13 * IFERROR(VLOOKUP("transport|PM25|Non-fatal heart attacks", US_national_yearly!$D:$AM, 21, FALSE) / VLOOKUP("transport|PM25|Non-fatal heart attacks", US_national_yearly!$D:$AM, 10, FALSE), 1)</f>
        <v>2.5143868258099659E-3</v>
      </c>
      <c r="N13" s="7">
        <f>$B13 * IFERROR(VLOOKUP("transport|PM25|Non-fatal heart attacks", US_national_yearly!$D:$AM, 22, FALSE) / VLOOKUP("transport|PM25|Non-fatal heart attacks", US_national_yearly!$D:$AM, 10, FALSE), 1)</f>
        <v>2.5422722402486742E-3</v>
      </c>
      <c r="O13" s="7">
        <f>$B13 * IFERROR(VLOOKUP("transport|PM25|Non-fatal heart attacks", US_national_yearly!$D:$AM, 23, FALSE) / VLOOKUP("transport|PM25|Non-fatal heart attacks", US_national_yearly!$D:$AM, 10, FALSE), 1)</f>
        <v>2.5701576546873829E-3</v>
      </c>
      <c r="P13" s="7">
        <f>$B13 * IFERROR(VLOOKUP("transport|PM25|Non-fatal heart attacks", US_national_yearly!$D:$AM, 24, FALSE) / VLOOKUP("transport|PM25|Non-fatal heart attacks", US_national_yearly!$D:$AM, 10, FALSE), 1)</f>
        <v>2.5980430691260915E-3</v>
      </c>
      <c r="Q13" s="7">
        <f>$B13 * IFERROR(VLOOKUP("transport|PM25|Non-fatal heart attacks", US_national_yearly!$D:$AM, 25, FALSE) / VLOOKUP("transport|PM25|Non-fatal heart attacks", US_national_yearly!$D:$AM, 10, FALSE), 1)</f>
        <v>2.6259284835647998E-3</v>
      </c>
      <c r="R13" s="7">
        <f>$B13 * IFERROR(VLOOKUP("transport|PM25|Non-fatal heart attacks", US_national_yearly!$D:$AM, 26, FALSE) / VLOOKUP("transport|PM25|Non-fatal heart attacks", US_national_yearly!$D:$AM, 10, FALSE), 1)</f>
        <v>2.6538138980035085E-3</v>
      </c>
      <c r="S13" s="7">
        <f>$B13 * IFERROR(VLOOKUP("transport|PM25|Non-fatal heart attacks", US_national_yearly!$D:$AM, 27, FALSE) / VLOOKUP("transport|PM25|Non-fatal heart attacks", US_national_yearly!$D:$AM, 10, FALSE), 1)</f>
        <v>2.6684991539271423E-3</v>
      </c>
      <c r="T13" s="7">
        <f>$B13 * IFERROR(VLOOKUP("transport|PM25|Non-fatal heart attacks", US_national_yearly!$D:$AM, 28, FALSE) / VLOOKUP("transport|PM25|Non-fatal heart attacks", US_national_yearly!$D:$AM, 10, FALSE), 1)</f>
        <v>2.6831844098507774E-3</v>
      </c>
      <c r="U13" s="7">
        <f>$B13 * IFERROR(VLOOKUP("transport|PM25|Non-fatal heart attacks", US_national_yearly!$D:$AM, 29, FALSE) / VLOOKUP("transport|PM25|Non-fatal heart attacks", US_national_yearly!$D:$AM, 10, FALSE), 1)</f>
        <v>2.6978696657744125E-3</v>
      </c>
      <c r="V13" s="7">
        <f>$B13 * IFERROR(VLOOKUP("transport|PM25|Non-fatal heart attacks", US_national_yearly!$D:$AM, 30, FALSE) / VLOOKUP("transport|PM25|Non-fatal heart attacks", US_national_yearly!$D:$AM, 10, FALSE), 1)</f>
        <v>2.7125549216980471E-3</v>
      </c>
      <c r="W13" s="7">
        <f>$B13 * IFERROR(VLOOKUP("transport|PM25|Non-fatal heart attacks", US_national_yearly!$D:$AM, 31, FALSE) / VLOOKUP("transport|PM25|Non-fatal heart attacks", US_national_yearly!$D:$AM, 10, FALSE), 1)</f>
        <v>2.7272401776216818E-3</v>
      </c>
      <c r="X13" s="7">
        <f>$B13 * IFERROR(VLOOKUP("transport|PM25|Non-fatal heart attacks", US_national_yearly!$D:$AM, 32, FALSE) / VLOOKUP("transport|PM25|Non-fatal heart attacks", US_national_yearly!$D:$AM, 10, FALSE), 1)</f>
        <v>2.7383884103120864E-3</v>
      </c>
      <c r="Y13" s="7">
        <f>$B13 * IFERROR(VLOOKUP("transport|PM25|Non-fatal heart attacks", US_national_yearly!$D:$AM, 33, FALSE) / VLOOKUP("transport|PM25|Non-fatal heart attacks", US_national_yearly!$D:$AM, 10, FALSE), 1)</f>
        <v>2.749536643002491E-3</v>
      </c>
      <c r="Z13" s="7">
        <f>$B13 * IFERROR(VLOOKUP("transport|PM25|Non-fatal heart attacks", US_national_yearly!$D:$AM, 34, FALSE) / VLOOKUP("transport|PM25|Non-fatal heart attacks", US_national_yearly!$D:$AM, 10, FALSE), 1)</f>
        <v>2.7606848756928952E-3</v>
      </c>
      <c r="AA13" s="7">
        <f>$B13 * IFERROR(VLOOKUP("transport|PM25|Non-fatal heart attacks", US_national_yearly!$D:$AM, 35, FALSE) / VLOOKUP("transport|PM25|Non-fatal heart attacks", US_national_yearly!$D:$AM, 10, FALSE), 1)</f>
        <v>2.7718331083832998E-3</v>
      </c>
      <c r="AB13" s="7">
        <f>$B13 * IFERROR(VLOOKUP("transport|PM25|Non-fatal heart attacks", US_national_yearly!$D:$AM, 36, FALSE) / VLOOKUP("transport|PM25|Non-fatal heart attacks", US_national_yearly!$D:$AM, 10, FALSE), 1)</f>
        <v>2.7829813410737039E-3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1.6868701868944587</v>
      </c>
      <c r="C14" s="7">
        <f>$B14 * IFERROR(VLOOKUP("transport|PM25|Minor restricted activity days", US_national_yearly!$D:$AM, 11, FALSE) / VLOOKUP("transport|PM25|Minor restricted activity days", US_national_yearly!$D:$AM, 10, FALSE), 1)</f>
        <v>1.6909897239382814</v>
      </c>
      <c r="D14" s="7">
        <f>$B14 * IFERROR(VLOOKUP("transport|PM25|Minor restricted activity days", US_national_yearly!$D:$AM, 12, FALSE) / VLOOKUP("transport|PM25|Minor restricted activity days", US_national_yearly!$D:$AM, 10, FALSE), 1)</f>
        <v>1.6951092609821039</v>
      </c>
      <c r="E14" s="7">
        <f>$B14 * IFERROR(VLOOKUP("transport|PM25|Minor restricted activity days", US_national_yearly!$D:$AM, 13, FALSE) / VLOOKUP("transport|PM25|Minor restricted activity days", US_national_yearly!$D:$AM, 10, FALSE), 1)</f>
        <v>1.6992287980259271</v>
      </c>
      <c r="F14" s="7">
        <f>$B14 * IFERROR(VLOOKUP("transport|PM25|Minor restricted activity days", US_national_yearly!$D:$AM, 14, FALSE) / VLOOKUP("transport|PM25|Minor restricted activity days", US_national_yearly!$D:$AM, 10, FALSE), 1)</f>
        <v>1.7033483350697494</v>
      </c>
      <c r="G14" s="7">
        <f>$B14 * IFERROR(VLOOKUP("transport|PM25|Minor restricted activity days", US_national_yearly!$D:$AM, 15, FALSE) / VLOOKUP("transport|PM25|Minor restricted activity days", US_national_yearly!$D:$AM, 10, FALSE), 1)</f>
        <v>1.7094265886908497</v>
      </c>
      <c r="H14" s="7">
        <f>$B14 * IFERROR(VLOOKUP("transport|PM25|Minor restricted activity days", US_national_yearly!$D:$AM, 16, FALSE) / VLOOKUP("transport|PM25|Minor restricted activity days", US_national_yearly!$D:$AM, 10, FALSE), 1)</f>
        <v>1.7155048423119501</v>
      </c>
      <c r="I14" s="7">
        <f>$B14 * IFERROR(VLOOKUP("transport|PM25|Minor restricted activity days", US_national_yearly!$D:$AM, 17, FALSE) / VLOOKUP("transport|PM25|Minor restricted activity days", US_national_yearly!$D:$AM, 10, FALSE), 1)</f>
        <v>1.7258958725944007</v>
      </c>
      <c r="J14" s="7">
        <f>$B14 * IFERROR(VLOOKUP("transport|PM25|Minor restricted activity days", US_national_yearly!$D:$AM, 18, FALSE) / VLOOKUP("transport|PM25|Minor restricted activity days", US_national_yearly!$D:$AM, 10, FALSE), 1)</f>
        <v>1.7362869028768504</v>
      </c>
      <c r="K14" s="7">
        <f>$B14 * IFERROR(VLOOKUP("transport|PM25|Minor restricted activity days", US_national_yearly!$D:$AM, 19, FALSE) / VLOOKUP("transport|PM25|Minor restricted activity days", US_national_yearly!$D:$AM, 10, FALSE), 1)</f>
        <v>1.746677933159301</v>
      </c>
      <c r="L14" s="7">
        <f>$B14 * IFERROR(VLOOKUP("transport|PM25|Minor restricted activity days", US_national_yearly!$D:$AM, 20, FALSE) / VLOOKUP("transport|PM25|Minor restricted activity days", US_national_yearly!$D:$AM, 10, FALSE), 1)</f>
        <v>1.7570689634417511</v>
      </c>
      <c r="M14" s="7">
        <f>$B14 * IFERROR(VLOOKUP("transport|PM25|Minor restricted activity days", US_national_yearly!$D:$AM, 21, FALSE) / VLOOKUP("transport|PM25|Minor restricted activity days", US_national_yearly!$D:$AM, 10, FALSE), 1)</f>
        <v>1.7674599937242013</v>
      </c>
      <c r="N14" s="7">
        <f>$B14 * IFERROR(VLOOKUP("transport|PM25|Minor restricted activity days", US_national_yearly!$D:$AM, 22, FALSE) / VLOOKUP("transport|PM25|Minor restricted activity days", US_national_yearly!$D:$AM, 10, FALSE), 1)</f>
        <v>1.7816146458193485</v>
      </c>
      <c r="O14" s="7">
        <f>$B14 * IFERROR(VLOOKUP("transport|PM25|Minor restricted activity days", US_national_yearly!$D:$AM, 23, FALSE) / VLOOKUP("transport|PM25|Minor restricted activity days", US_national_yearly!$D:$AM, 10, FALSE), 1)</f>
        <v>1.7957692979144952</v>
      </c>
      <c r="P14" s="7">
        <f>$B14 * IFERROR(VLOOKUP("transport|PM25|Minor restricted activity days", US_national_yearly!$D:$AM, 24, FALSE) / VLOOKUP("transport|PM25|Minor restricted activity days", US_national_yearly!$D:$AM, 10, FALSE), 1)</f>
        <v>1.8099239500096425</v>
      </c>
      <c r="Q14" s="7">
        <f>$B14 * IFERROR(VLOOKUP("transport|PM25|Minor restricted activity days", US_national_yearly!$D:$AM, 25, FALSE) / VLOOKUP("transport|PM25|Minor restricted activity days", US_national_yearly!$D:$AM, 10, FALSE), 1)</f>
        <v>1.8240786021047892</v>
      </c>
      <c r="R14" s="7">
        <f>$B14 * IFERROR(VLOOKUP("transport|PM25|Minor restricted activity days", US_national_yearly!$D:$AM, 26, FALSE) / VLOOKUP("transport|PM25|Minor restricted activity days", US_national_yearly!$D:$AM, 10, FALSE), 1)</f>
        <v>1.8382332541999362</v>
      </c>
      <c r="S14" s="7">
        <f>$B14 * IFERROR(VLOOKUP("transport|PM25|Minor restricted activity days", US_national_yearly!$D:$AM, 27, FALSE) / VLOOKUP("transport|PM25|Minor restricted activity days", US_national_yearly!$D:$AM, 10, FALSE), 1)</f>
        <v>1.8524853847458747</v>
      </c>
      <c r="T14" s="7">
        <f>$B14 * IFERROR(VLOOKUP("transport|PM25|Minor restricted activity days", US_national_yearly!$D:$AM, 28, FALSE) / VLOOKUP("transport|PM25|Minor restricted activity days", US_national_yearly!$D:$AM, 10, FALSE), 1)</f>
        <v>1.8667375152918131</v>
      </c>
      <c r="U14" s="7">
        <f>$B14 * IFERROR(VLOOKUP("transport|PM25|Minor restricted activity days", US_national_yearly!$D:$AM, 29, FALSE) / VLOOKUP("transport|PM25|Minor restricted activity days", US_national_yearly!$D:$AM, 10, FALSE), 1)</f>
        <v>1.8809896458377513</v>
      </c>
      <c r="V14" s="7">
        <f>$B14 * IFERROR(VLOOKUP("transport|PM25|Minor restricted activity days", US_national_yearly!$D:$AM, 30, FALSE) / VLOOKUP("transport|PM25|Minor restricted activity days", US_national_yearly!$D:$AM, 10, FALSE), 1)</f>
        <v>1.8952417763836897</v>
      </c>
      <c r="W14" s="7">
        <f>$B14 * IFERROR(VLOOKUP("transport|PM25|Minor restricted activity days", US_national_yearly!$D:$AM, 31, FALSE) / VLOOKUP("transport|PM25|Minor restricted activity days", US_national_yearly!$D:$AM, 10, FALSE), 1)</f>
        <v>1.9094939069296282</v>
      </c>
      <c r="X14" s="7">
        <f>$B14 * IFERROR(VLOOKUP("transport|PM25|Minor restricted activity days", US_national_yearly!$D:$AM, 32, FALSE) / VLOOKUP("transport|PM25|Minor restricted activity days", US_national_yearly!$D:$AM, 10, FALSE), 1)</f>
        <v>1.9218661900351153</v>
      </c>
      <c r="Y14" s="7">
        <f>$B14 * IFERROR(VLOOKUP("transport|PM25|Minor restricted activity days", US_national_yearly!$D:$AM, 33, FALSE) / VLOOKUP("transport|PM25|Minor restricted activity days", US_national_yearly!$D:$AM, 10, FALSE), 1)</f>
        <v>1.9342384731406024</v>
      </c>
      <c r="Z14" s="7">
        <f>$B14 * IFERROR(VLOOKUP("transport|PM25|Minor restricted activity days", US_national_yearly!$D:$AM, 34, FALSE) / VLOOKUP("transport|PM25|Minor restricted activity days", US_national_yearly!$D:$AM, 10, FALSE), 1)</f>
        <v>1.9466107562460893</v>
      </c>
      <c r="AA14" s="7">
        <f>$B14 * IFERROR(VLOOKUP("transport|PM25|Minor restricted activity days", US_national_yearly!$D:$AM, 35, FALSE) / VLOOKUP("transport|PM25|Minor restricted activity days", US_national_yearly!$D:$AM, 10, FALSE), 1)</f>
        <v>1.9589830393515759</v>
      </c>
      <c r="AB14" s="7">
        <f>$B14 * IFERROR(VLOOKUP("transport|PM25|Minor restricted activity days", US_national_yearly!$D:$AM, 36, FALSE) / VLOOKUP("transport|PM25|Minor restricted activity days", US_national_yearly!$D:$AM, 10, FALSE), 1)</f>
        <v>1.971355322457063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0.28316962245137189</v>
      </c>
      <c r="C15" s="7">
        <f>$B15 * IFERROR(VLOOKUP("transport|PM25|Work loss days", US_national_yearly!$D:$AM, 11, FALSE) / VLOOKUP("transport|PM25|Work loss days", US_national_yearly!$D:$AM, 10, FALSE), 1)</f>
        <v>0.28404734629154305</v>
      </c>
      <c r="D15" s="7">
        <f>$B15 * IFERROR(VLOOKUP("transport|PM25|Work loss days", US_national_yearly!$D:$AM, 12, FALSE) / VLOOKUP("transport|PM25|Work loss days", US_national_yearly!$D:$AM, 10, FALSE), 1)</f>
        <v>0.2849250701317142</v>
      </c>
      <c r="E15" s="7">
        <f>$B15 * IFERROR(VLOOKUP("transport|PM25|Work loss days", US_national_yearly!$D:$AM, 13, FALSE) / VLOOKUP("transport|PM25|Work loss days", US_national_yearly!$D:$AM, 10, FALSE), 1)</f>
        <v>0.28580279397188535</v>
      </c>
      <c r="F15" s="7">
        <f>$B15 * IFERROR(VLOOKUP("transport|PM25|Work loss days", US_national_yearly!$D:$AM, 14, FALSE) / VLOOKUP("transport|PM25|Work loss days", US_national_yearly!$D:$AM, 10, FALSE), 1)</f>
        <v>0.28668051781205645</v>
      </c>
      <c r="G15" s="7">
        <f>$B15 * IFERROR(VLOOKUP("transport|PM25|Work loss days", US_national_yearly!$D:$AM, 15, FALSE) / VLOOKUP("transport|PM25|Work loss days", US_national_yearly!$D:$AM, 10, FALSE), 1)</f>
        <v>0.28783126977492091</v>
      </c>
      <c r="H15" s="7">
        <f>$B15 * IFERROR(VLOOKUP("transport|PM25|Work loss days", US_national_yearly!$D:$AM, 16, FALSE) / VLOOKUP("transport|PM25|Work loss days", US_national_yearly!$D:$AM, 10, FALSE), 1)</f>
        <v>0.28898202173778537</v>
      </c>
      <c r="I15" s="7">
        <f>$B15 * IFERROR(VLOOKUP("transport|PM25|Work loss days", US_national_yearly!$D:$AM, 17, FALSE) / VLOOKUP("transport|PM25|Work loss days", US_national_yearly!$D:$AM, 10, FALSE), 1)</f>
        <v>0.29067663056845189</v>
      </c>
      <c r="J15" s="7">
        <f>$B15 * IFERROR(VLOOKUP("transport|PM25|Work loss days", US_national_yearly!$D:$AM, 18, FALSE) / VLOOKUP("transport|PM25|Work loss days", US_national_yearly!$D:$AM, 10, FALSE), 1)</f>
        <v>0.29237123939911841</v>
      </c>
      <c r="K15" s="7">
        <f>$B15 * IFERROR(VLOOKUP("transport|PM25|Work loss days", US_national_yearly!$D:$AM, 19, FALSE) / VLOOKUP("transport|PM25|Work loss days", US_national_yearly!$D:$AM, 10, FALSE), 1)</f>
        <v>0.29406584822978493</v>
      </c>
      <c r="L15" s="7">
        <f>$B15 * IFERROR(VLOOKUP("transport|PM25|Work loss days", US_national_yearly!$D:$AM, 20, FALSE) / VLOOKUP("transport|PM25|Work loss days", US_national_yearly!$D:$AM, 10, FALSE), 1)</f>
        <v>0.29576045706045145</v>
      </c>
      <c r="M15" s="7">
        <f>$B15 * IFERROR(VLOOKUP("transport|PM25|Work loss days", US_national_yearly!$D:$AM, 21, FALSE) / VLOOKUP("transport|PM25|Work loss days", US_national_yearly!$D:$AM, 10, FALSE), 1)</f>
        <v>0.29745506589111798</v>
      </c>
      <c r="N15" s="7">
        <f>$B15 * IFERROR(VLOOKUP("transport|PM25|Work loss days", US_national_yearly!$D:$AM, 22, FALSE) / VLOOKUP("transport|PM25|Work loss days", US_national_yearly!$D:$AM, 10, FALSE), 1)</f>
        <v>0.29958785936742244</v>
      </c>
      <c r="O15" s="7">
        <f>$B15 * IFERROR(VLOOKUP("transport|PM25|Work loss days", US_national_yearly!$D:$AM, 23, FALSE) / VLOOKUP("transport|PM25|Work loss days", US_national_yearly!$D:$AM, 10, FALSE), 1)</f>
        <v>0.3017206528437269</v>
      </c>
      <c r="P15" s="7">
        <f>$B15 * IFERROR(VLOOKUP("transport|PM25|Work loss days", US_national_yearly!$D:$AM, 24, FALSE) / VLOOKUP("transport|PM25|Work loss days", US_national_yearly!$D:$AM, 10, FALSE), 1)</f>
        <v>0.30385344632003142</v>
      </c>
      <c r="Q15" s="7">
        <f>$B15 * IFERROR(VLOOKUP("transport|PM25|Work loss days", US_national_yearly!$D:$AM, 25, FALSE) / VLOOKUP("transport|PM25|Work loss days", US_national_yearly!$D:$AM, 10, FALSE), 1)</f>
        <v>0.30598623979633588</v>
      </c>
      <c r="R15" s="7">
        <f>$B15 * IFERROR(VLOOKUP("transport|PM25|Work loss days", US_national_yearly!$D:$AM, 26, FALSE) / VLOOKUP("transport|PM25|Work loss days", US_national_yearly!$D:$AM, 10, FALSE), 1)</f>
        <v>0.3081190332726404</v>
      </c>
      <c r="S15" s="7">
        <f>$B15 * IFERROR(VLOOKUP("transport|PM25|Work loss days", US_national_yearly!$D:$AM, 27, FALSE) / VLOOKUP("transport|PM25|Work loss days", US_national_yearly!$D:$AM, 10, FALSE), 1)</f>
        <v>0.31047799391375136</v>
      </c>
      <c r="T15" s="7">
        <f>$B15 * IFERROR(VLOOKUP("transport|PM25|Work loss days", US_national_yearly!$D:$AM, 28, FALSE) / VLOOKUP("transport|PM25|Work loss days", US_national_yearly!$D:$AM, 10, FALSE), 1)</f>
        <v>0.31283695455486243</v>
      </c>
      <c r="U15" s="7">
        <f>$B15 * IFERROR(VLOOKUP("transport|PM25|Work loss days", US_national_yearly!$D:$AM, 29, FALSE) / VLOOKUP("transport|PM25|Work loss days", US_national_yearly!$D:$AM, 10, FALSE), 1)</f>
        <v>0.31519591519597334</v>
      </c>
      <c r="V15" s="7">
        <f>$B15 * IFERROR(VLOOKUP("transport|PM25|Work loss days", US_national_yearly!$D:$AM, 30, FALSE) / VLOOKUP("transport|PM25|Work loss days", US_national_yearly!$D:$AM, 10, FALSE), 1)</f>
        <v>0.31755487583708442</v>
      </c>
      <c r="W15" s="7">
        <f>$B15 * IFERROR(VLOOKUP("transport|PM25|Work loss days", US_national_yearly!$D:$AM, 31, FALSE) / VLOOKUP("transport|PM25|Work loss days", US_national_yearly!$D:$AM, 10, FALSE), 1)</f>
        <v>0.31991383647819538</v>
      </c>
      <c r="X15" s="7">
        <f>$B15 * IFERROR(VLOOKUP("transport|PM25|Work loss days", US_national_yearly!$D:$AM, 32, FALSE) / VLOOKUP("transport|PM25|Work loss days", US_national_yearly!$D:$AM, 10, FALSE), 1)</f>
        <v>0.32200687078709084</v>
      </c>
      <c r="Y15" s="7">
        <f>$B15 * IFERROR(VLOOKUP("transport|PM25|Work loss days", US_national_yearly!$D:$AM, 33, FALSE) / VLOOKUP("transport|PM25|Work loss days", US_national_yearly!$D:$AM, 10, FALSE), 1)</f>
        <v>0.32409990509598624</v>
      </c>
      <c r="Z15" s="7">
        <f>$B15 * IFERROR(VLOOKUP("transport|PM25|Work loss days", US_national_yearly!$D:$AM, 34, FALSE) / VLOOKUP("transport|PM25|Work loss days", US_national_yearly!$D:$AM, 10, FALSE), 1)</f>
        <v>0.32619293940488175</v>
      </c>
      <c r="AA15" s="7">
        <f>$B15 * IFERROR(VLOOKUP("transport|PM25|Work loss days", US_national_yearly!$D:$AM, 35, FALSE) / VLOOKUP("transport|PM25|Work loss days", US_national_yearly!$D:$AM, 10, FALSE), 1)</f>
        <v>0.32828597371377727</v>
      </c>
      <c r="AB15" s="7">
        <f>$B15 * IFERROR(VLOOKUP("transport|PM25|Work loss days", US_national_yearly!$D:$AM, 36, FALSE) / VLOOKUP("transport|PM25|Work loss days", US_national_yearly!$D:$AM, 10, FALSE), 1)</f>
        <v>0.33037900802267267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4.4391140705546785E-4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4.5717578944519204E-4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4.7044017183491628E-4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4.8370455422464052E-4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4.9696893661436482E-4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5.0967384557019674E-4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5.2237875452602889E-4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5.3324469019251988E-4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5.4411062585901077E-4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5.5497656152550165E-4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5.6584249719199276E-4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5.7670843285848364E-4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5.8395300025113018E-4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5.9119756764377672E-4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5.9844213503642315E-4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6.0568670242906969E-4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6.1293126982171623E-4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6.1676432233298063E-4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6.2059737484424491E-4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6.2443042735550909E-4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6.2826347986677338E-4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6.3209653237803766E-4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6.3467699374847905E-4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6.3725745511892032E-4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6.398379164893617E-4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6.4241837785980298E-4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6.4499883923024436E-4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2.0079576369412509E-4</v>
      </c>
      <c r="C2" s="7">
        <f>$B2 * IFERROR(VLOOKUP("transport|NOx|Premature mortality", US_national_yearly!$D:$AM, 11, FALSE) / VLOOKUP("transport|NOx|Premature mortality", US_national_yearly!$D:$AM, 10, FALSE), 1)</f>
        <v>2.0374511406709504E-4</v>
      </c>
      <c r="D2" s="7">
        <f>$B2 * IFERROR(VLOOKUP("transport|NOx|Premature mortality", US_national_yearly!$D:$AM, 12, FALSE) / VLOOKUP("transport|NOx|Premature mortality", US_national_yearly!$D:$AM, 10, FALSE), 1)</f>
        <v>2.0669446444006494E-4</v>
      </c>
      <c r="E2" s="7">
        <f>$B2 * IFERROR(VLOOKUP("transport|NOx|Premature mortality", US_national_yearly!$D:$AM, 13, FALSE) / VLOOKUP("transport|NOx|Premature mortality", US_national_yearly!$D:$AM, 10, FALSE), 1)</f>
        <v>2.0964381481303489E-4</v>
      </c>
      <c r="F2" s="7">
        <f>$B2 * IFERROR(VLOOKUP("transport|NOx|Premature mortality", US_national_yearly!$D:$AM, 14, FALSE) / VLOOKUP("transport|NOx|Premature mortality", US_national_yearly!$D:$AM, 10, FALSE), 1)</f>
        <v>2.1259316518600484E-4</v>
      </c>
      <c r="G2" s="7">
        <f>$B2 * IFERROR(VLOOKUP("transport|NOx|Premature mortality", US_national_yearly!$D:$AM, 15, FALSE) / VLOOKUP("transport|NOx|Premature mortality", US_national_yearly!$D:$AM, 10, FALSE), 1)</f>
        <v>2.1789089575367405E-4</v>
      </c>
      <c r="H2" s="7">
        <f>$B2 * IFERROR(VLOOKUP("transport|NOx|Premature mortality", US_national_yearly!$D:$AM, 16, FALSE) / VLOOKUP("transport|NOx|Premature mortality", US_national_yearly!$D:$AM, 10, FALSE), 1)</f>
        <v>2.2318862632134335E-4</v>
      </c>
      <c r="I2" s="7">
        <f>$B2 * IFERROR(VLOOKUP("transport|NOx|Premature mortality", US_national_yearly!$D:$AM, 17, FALSE) / VLOOKUP("transport|NOx|Premature mortality", US_national_yearly!$D:$AM, 10, FALSE), 1)</f>
        <v>2.2660841189349126E-4</v>
      </c>
      <c r="J2" s="7">
        <f>$B2 * IFERROR(VLOOKUP("transport|NOx|Premature mortality", US_national_yearly!$D:$AM, 18, FALSE) / VLOOKUP("transport|NOx|Premature mortality", US_national_yearly!$D:$AM, 10, FALSE), 1)</f>
        <v>2.3002819746563923E-4</v>
      </c>
      <c r="K2" s="7">
        <f>$B2 * IFERROR(VLOOKUP("transport|NOx|Premature mortality", US_national_yearly!$D:$AM, 19, FALSE) / VLOOKUP("transport|NOx|Premature mortality", US_national_yearly!$D:$AM, 10, FALSE), 1)</f>
        <v>2.3344798303778715E-4</v>
      </c>
      <c r="L2" s="7">
        <f>$B2 * IFERROR(VLOOKUP("transport|NOx|Premature mortality", US_national_yearly!$D:$AM, 20, FALSE) / VLOOKUP("transport|NOx|Premature mortality", US_national_yearly!$D:$AM, 10, FALSE), 1)</f>
        <v>2.3686776860993506E-4</v>
      </c>
      <c r="M2" s="7">
        <f>$B2 * IFERROR(VLOOKUP("transport|NOx|Premature mortality", US_national_yearly!$D:$AM, 21, FALSE) / VLOOKUP("transport|NOx|Premature mortality", US_national_yearly!$D:$AM, 10, FALSE), 1)</f>
        <v>2.4028755418208303E-4</v>
      </c>
      <c r="N2" s="7">
        <f>$B2 * IFERROR(VLOOKUP("transport|NOx|Premature mortality", US_national_yearly!$D:$AM, 22, FALSE) / VLOOKUP("transport|NOx|Premature mortality", US_national_yearly!$D:$AM, 10, FALSE), 1)</f>
        <v>2.4282091803936437E-4</v>
      </c>
      <c r="O2" s="7">
        <f>$B2 * IFERROR(VLOOKUP("transport|NOx|Premature mortality", US_national_yearly!$D:$AM, 23, FALSE) / VLOOKUP("transport|NOx|Premature mortality", US_national_yearly!$D:$AM, 10, FALSE), 1)</f>
        <v>2.4535428189664571E-4</v>
      </c>
      <c r="P2" s="7">
        <f>$B2 * IFERROR(VLOOKUP("transport|NOx|Premature mortality", US_national_yearly!$D:$AM, 24, FALSE) / VLOOKUP("transport|NOx|Premature mortality", US_national_yearly!$D:$AM, 10, FALSE), 1)</f>
        <v>2.4788764575392708E-4</v>
      </c>
      <c r="Q2" s="7">
        <f>$B2 * IFERROR(VLOOKUP("transport|NOx|Premature mortality", US_national_yearly!$D:$AM, 25, FALSE) / VLOOKUP("transport|NOx|Premature mortality", US_national_yearly!$D:$AM, 10, FALSE), 1)</f>
        <v>2.5042100961120844E-4</v>
      </c>
      <c r="R2" s="7">
        <f>$B2 * IFERROR(VLOOKUP("transport|NOx|Premature mortality", US_national_yearly!$D:$AM, 26, FALSE) / VLOOKUP("transport|NOx|Premature mortality", US_national_yearly!$D:$AM, 10, FALSE), 1)</f>
        <v>2.5295437346848975E-4</v>
      </c>
      <c r="S2" s="7">
        <f>$B2 * IFERROR(VLOOKUP("transport|NOx|Premature mortality", US_national_yearly!$D:$AM, 27, FALSE) / VLOOKUP("transport|NOx|Premature mortality", US_national_yearly!$D:$AM, 10, FALSE), 1)</f>
        <v>2.5410581285225916E-4</v>
      </c>
      <c r="T2" s="7">
        <f>$B2 * IFERROR(VLOOKUP("transport|NOx|Premature mortality", US_national_yearly!$D:$AM, 28, FALSE) / VLOOKUP("transport|NOx|Premature mortality", US_national_yearly!$D:$AM, 10, FALSE), 1)</f>
        <v>2.5525725223602861E-4</v>
      </c>
      <c r="U2" s="7">
        <f>$B2 * IFERROR(VLOOKUP("transport|NOx|Premature mortality", US_national_yearly!$D:$AM, 29, FALSE) / VLOOKUP("transport|NOx|Premature mortality", US_national_yearly!$D:$AM, 10, FALSE), 1)</f>
        <v>2.5640869161979801E-4</v>
      </c>
      <c r="V2" s="7">
        <f>$B2 * IFERROR(VLOOKUP("transport|NOx|Premature mortality", US_national_yearly!$D:$AM, 30, FALSE) / VLOOKUP("transport|NOx|Premature mortality", US_national_yearly!$D:$AM, 10, FALSE), 1)</f>
        <v>2.5756013100356736E-4</v>
      </c>
      <c r="W2" s="7">
        <f>$B2 * IFERROR(VLOOKUP("transport|NOx|Premature mortality", US_national_yearly!$D:$AM, 31, FALSE) / VLOOKUP("transport|NOx|Premature mortality", US_national_yearly!$D:$AM, 10, FALSE), 1)</f>
        <v>2.5871157038733682E-4</v>
      </c>
      <c r="X2" s="7">
        <f>$B2 * IFERROR(VLOOKUP("transport|NOx|Premature mortality", US_national_yearly!$D:$AM, 32, FALSE) / VLOOKUP("transport|NOx|Premature mortality", US_national_yearly!$D:$AM, 10, FALSE), 1)</f>
        <v>2.587514555866591E-4</v>
      </c>
      <c r="Y2" s="7">
        <f>$B2 * IFERROR(VLOOKUP("transport|NOx|Premature mortality", US_national_yearly!$D:$AM, 33, FALSE) / VLOOKUP("transport|NOx|Premature mortality", US_national_yearly!$D:$AM, 10, FALSE), 1)</f>
        <v>2.5879134078598138E-4</v>
      </c>
      <c r="Z2" s="7">
        <f>$B2 * IFERROR(VLOOKUP("transport|NOx|Premature mortality", US_national_yearly!$D:$AM, 34, FALSE) / VLOOKUP("transport|NOx|Premature mortality", US_national_yearly!$D:$AM, 10, FALSE), 1)</f>
        <v>2.5883122598530361E-4</v>
      </c>
      <c r="AA2" s="7">
        <f>$B2 * IFERROR(VLOOKUP("transport|NOx|Premature mortality", US_national_yearly!$D:$AM, 35, FALSE) / VLOOKUP("transport|NOx|Premature mortality", US_national_yearly!$D:$AM, 10, FALSE), 1)</f>
        <v>2.5887111118462594E-4</v>
      </c>
      <c r="AB2" s="7">
        <f>$B2 * IFERROR(VLOOKUP("transport|NOx|Premature mortality", US_national_yearly!$D:$AM, 36, FALSE) / VLOOKUP("transport|NOx|Premature mortality", US_national_yearly!$D:$AM, 10, FALSE), 1)</f>
        <v>2.5891099638394822E-4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2.6189995745127272E-7</v>
      </c>
      <c r="C3" s="7">
        <f>$B3 * IFERROR(VLOOKUP("transport|NOx|Infant mortality", US_national_yearly!$D:$AM, 11, FALSE) / VLOOKUP("transport|NOx|Infant mortality", US_national_yearly!$D:$AM, 10, FALSE), 1)</f>
        <v>2.5940469299289825E-7</v>
      </c>
      <c r="D3" s="7">
        <f>$B3 * IFERROR(VLOOKUP("transport|NOx|Infant mortality", US_national_yearly!$D:$AM, 12, FALSE) / VLOOKUP("transport|NOx|Infant mortality", US_national_yearly!$D:$AM, 10, FALSE), 1)</f>
        <v>2.5690942853452372E-7</v>
      </c>
      <c r="E3" s="7">
        <f>$B3 * IFERROR(VLOOKUP("transport|NOx|Infant mortality", US_national_yearly!$D:$AM, 13, FALSE) / VLOOKUP("transport|NOx|Infant mortality", US_national_yearly!$D:$AM, 10, FALSE), 1)</f>
        <v>2.5441416407614924E-7</v>
      </c>
      <c r="F3" s="7">
        <f>$B3 * IFERROR(VLOOKUP("transport|NOx|Infant mortality", US_national_yearly!$D:$AM, 14, FALSE) / VLOOKUP("transport|NOx|Infant mortality", US_national_yearly!$D:$AM, 10, FALSE), 1)</f>
        <v>2.5191889961777472E-7</v>
      </c>
      <c r="G3" s="7">
        <f>$B3 * IFERROR(VLOOKUP("transport|NOx|Infant mortality", US_national_yearly!$D:$AM, 15, FALSE) / VLOOKUP("transport|NOx|Infant mortality", US_national_yearly!$D:$AM, 10, FALSE), 1)</f>
        <v>1.6723620556908859E-7</v>
      </c>
      <c r="H3" s="7">
        <f>$B3 * IFERROR(VLOOKUP("transport|NOx|Infant mortality", US_national_yearly!$D:$AM, 16, FALSE) / VLOOKUP("transport|NOx|Infant mortality", US_national_yearly!$D:$AM, 10, FALSE), 1)</f>
        <v>8.2553511520402483E-8</v>
      </c>
      <c r="I3" s="7">
        <f>$B3 * IFERROR(VLOOKUP("transport|NOx|Infant mortality", US_national_yearly!$D:$AM, 17, FALSE) / VLOOKUP("transport|NOx|Infant mortality", US_national_yearly!$D:$AM, 10, FALSE), 1)</f>
        <v>8.1969779371539241E-8</v>
      </c>
      <c r="J3" s="7">
        <f>$B3 * IFERROR(VLOOKUP("transport|NOx|Infant mortality", US_national_yearly!$D:$AM, 18, FALSE) / VLOOKUP("transport|NOx|Infant mortality", US_national_yearly!$D:$AM, 10, FALSE), 1)</f>
        <v>8.1386047222675972E-8</v>
      </c>
      <c r="K3" s="7">
        <f>$B3 * IFERROR(VLOOKUP("transport|NOx|Infant mortality", US_national_yearly!$D:$AM, 19, FALSE) / VLOOKUP("transport|NOx|Infant mortality", US_national_yearly!$D:$AM, 10, FALSE), 1)</f>
        <v>8.080231507381273E-8</v>
      </c>
      <c r="L3" s="7">
        <f>$B3 * IFERROR(VLOOKUP("transport|NOx|Infant mortality", US_national_yearly!$D:$AM, 20, FALSE) / VLOOKUP("transport|NOx|Infant mortality", US_national_yearly!$D:$AM, 10, FALSE), 1)</f>
        <v>8.0218582924949487E-8</v>
      </c>
      <c r="M3" s="7">
        <f>$B3 * IFERROR(VLOOKUP("transport|NOx|Infant mortality", US_national_yearly!$D:$AM, 21, FALSE) / VLOOKUP("transport|NOx|Infant mortality", US_national_yearly!$D:$AM, 10, FALSE), 1)</f>
        <v>7.9634850776086232E-8</v>
      </c>
      <c r="N3" s="7">
        <f>$B3 * IFERROR(VLOOKUP("transport|NOx|Infant mortality", US_national_yearly!$D:$AM, 22, FALSE) / VLOOKUP("transport|NOx|Infant mortality", US_national_yearly!$D:$AM, 10, FALSE), 1)</f>
        <v>7.9247393782962307E-8</v>
      </c>
      <c r="O3" s="7">
        <f>$B3 * IFERROR(VLOOKUP("transport|NOx|Infant mortality", US_national_yearly!$D:$AM, 23, FALSE) / VLOOKUP("transport|NOx|Infant mortality", US_national_yearly!$D:$AM, 10, FALSE), 1)</f>
        <v>7.8859936789838383E-8</v>
      </c>
      <c r="P3" s="7">
        <f>$B3 * IFERROR(VLOOKUP("transport|NOx|Infant mortality", US_national_yearly!$D:$AM, 24, FALSE) / VLOOKUP("transport|NOx|Infant mortality", US_national_yearly!$D:$AM, 10, FALSE), 1)</f>
        <v>7.8472479796714459E-8</v>
      </c>
      <c r="Q3" s="7">
        <f>$B3 * IFERROR(VLOOKUP("transport|NOx|Infant mortality", US_national_yearly!$D:$AM, 25, FALSE) / VLOOKUP("transport|NOx|Infant mortality", US_national_yearly!$D:$AM, 10, FALSE), 1)</f>
        <v>7.8085022803590534E-8</v>
      </c>
      <c r="R3" s="7">
        <f>$B3 * IFERROR(VLOOKUP("transport|NOx|Infant mortality", US_national_yearly!$D:$AM, 26, FALSE) / VLOOKUP("transport|NOx|Infant mortality", US_national_yearly!$D:$AM, 10, FALSE), 1)</f>
        <v>7.769756581046661E-8</v>
      </c>
      <c r="S3" s="7">
        <f>$B3 * IFERROR(VLOOKUP("transport|NOx|Infant mortality", US_national_yearly!$D:$AM, 27, FALSE) / VLOOKUP("transport|NOx|Infant mortality", US_national_yearly!$D:$AM, 10, FALSE), 1)</f>
        <v>7.7231780889838296E-8</v>
      </c>
      <c r="T3" s="7">
        <f>$B3 * IFERROR(VLOOKUP("transport|NOx|Infant mortality", US_national_yearly!$D:$AM, 28, FALSE) / VLOOKUP("transport|NOx|Infant mortality", US_national_yearly!$D:$AM, 10, FALSE), 1)</f>
        <v>7.6765995969209981E-8</v>
      </c>
      <c r="U3" s="7">
        <f>$B3 * IFERROR(VLOOKUP("transport|NOx|Infant mortality", US_national_yearly!$D:$AM, 29, FALSE) / VLOOKUP("transport|NOx|Infant mortality", US_national_yearly!$D:$AM, 10, FALSE), 1)</f>
        <v>7.6300211048581667E-8</v>
      </c>
      <c r="V3" s="7">
        <f>$B3 * IFERROR(VLOOKUP("transport|NOx|Infant mortality", US_national_yearly!$D:$AM, 30, FALSE) / VLOOKUP("transport|NOx|Infant mortality", US_national_yearly!$D:$AM, 10, FALSE), 1)</f>
        <v>7.5834426127953352E-8</v>
      </c>
      <c r="W3" s="7">
        <f>$B3 * IFERROR(VLOOKUP("transport|NOx|Infant mortality", US_national_yearly!$D:$AM, 31, FALSE) / VLOOKUP("transport|NOx|Infant mortality", US_national_yearly!$D:$AM, 10, FALSE), 1)</f>
        <v>7.5368641207325038E-8</v>
      </c>
      <c r="X3" s="7">
        <f>$B3 * IFERROR(VLOOKUP("transport|NOx|Infant mortality", US_national_yearly!$D:$AM, 32, FALSE) / VLOOKUP("transport|NOx|Infant mortality", US_national_yearly!$D:$AM, 10, FALSE), 1)</f>
        <v>7.4875352451940219E-8</v>
      </c>
      <c r="Y3" s="7">
        <f>$B3 * IFERROR(VLOOKUP("transport|NOx|Infant mortality", US_national_yearly!$D:$AM, 33, FALSE) / VLOOKUP("transport|NOx|Infant mortality", US_national_yearly!$D:$AM, 10, FALSE), 1)</f>
        <v>7.4382063696555388E-8</v>
      </c>
      <c r="Z3" s="7">
        <f>$B3 * IFERROR(VLOOKUP("transport|NOx|Infant mortality", US_national_yearly!$D:$AM, 34, FALSE) / VLOOKUP("transport|NOx|Infant mortality", US_national_yearly!$D:$AM, 10, FALSE), 1)</f>
        <v>7.3888774941170543E-8</v>
      </c>
      <c r="AA3" s="7">
        <f>$B3 * IFERROR(VLOOKUP("transport|NOx|Infant mortality", US_national_yearly!$D:$AM, 35, FALSE) / VLOOKUP("transport|NOx|Infant mortality", US_national_yearly!$D:$AM, 10, FALSE), 1)</f>
        <v>7.3395486185785711E-8</v>
      </c>
      <c r="AB3" s="7">
        <f>$B3 * IFERROR(VLOOKUP("transport|NOx|Infant mortality", US_national_yearly!$D:$AM, 36, FALSE) / VLOOKUP("transport|NOx|Infant mortality", US_national_yearly!$D:$AM, 10, FALSE), 1)</f>
        <v>7.2902197430400879E-8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4.0540768152914122E-4</v>
      </c>
      <c r="C6" s="7">
        <f>$B6 * IFERROR(VLOOKUP("transport|NOx|Asthma symptoms cough", US_national_yearly!$D:$AM, 11, FALSE) / VLOOKUP("transport|NOx|Asthma symptoms cough", US_national_yearly!$D:$AM, 10, FALSE), 1)</f>
        <v>4.1095026735096655E-4</v>
      </c>
      <c r="D6" s="7">
        <f>$B6 * IFERROR(VLOOKUP("transport|NOx|Asthma symptoms cough", US_national_yearly!$D:$AM, 12, FALSE) / VLOOKUP("transport|NOx|Asthma symptoms cough", US_national_yearly!$D:$AM, 10, FALSE), 1)</f>
        <v>4.1649285317279193E-4</v>
      </c>
      <c r="E6" s="7">
        <f>$B6 * IFERROR(VLOOKUP("transport|NOx|Asthma symptoms cough", US_national_yearly!$D:$AM, 13, FALSE) / VLOOKUP("transport|NOx|Asthma symptoms cough", US_national_yearly!$D:$AM, 10, FALSE), 1)</f>
        <v>4.2203543899461726E-4</v>
      </c>
      <c r="F6" s="7">
        <f>$B6 * IFERROR(VLOOKUP("transport|NOx|Asthma symptoms cough", US_national_yearly!$D:$AM, 14, FALSE) / VLOOKUP("transport|NOx|Asthma symptoms cough", US_national_yearly!$D:$AM, 10, FALSE), 1)</f>
        <v>4.2757802481644265E-4</v>
      </c>
      <c r="G6" s="7">
        <f>$B6 * IFERROR(VLOOKUP("transport|NOx|Asthma symptoms cough", US_national_yearly!$D:$AM, 15, FALSE) / VLOOKUP("transport|NOx|Asthma symptoms cough", US_national_yearly!$D:$AM, 10, FALSE), 1)</f>
        <v>4.3200300507112806E-4</v>
      </c>
      <c r="H6" s="7">
        <f>$B6 * IFERROR(VLOOKUP("transport|NOx|Asthma symptoms cough", US_national_yearly!$D:$AM, 16, FALSE) / VLOOKUP("transport|NOx|Asthma symptoms cough", US_national_yearly!$D:$AM, 10, FALSE), 1)</f>
        <v>4.3642798532581364E-4</v>
      </c>
      <c r="I6" s="7">
        <f>$B6 * IFERROR(VLOOKUP("transport|NOx|Asthma symptoms cough", US_national_yearly!$D:$AM, 17, FALSE) / VLOOKUP("transport|NOx|Asthma symptoms cough", US_national_yearly!$D:$AM, 10, FALSE), 1)</f>
        <v>4.3795100027105912E-4</v>
      </c>
      <c r="J6" s="7">
        <f>$B6 * IFERROR(VLOOKUP("transport|NOx|Asthma symptoms cough", US_national_yearly!$D:$AM, 18, FALSE) / VLOOKUP("transport|NOx|Asthma symptoms cough", US_national_yearly!$D:$AM, 10, FALSE), 1)</f>
        <v>4.3947401521630464E-4</v>
      </c>
      <c r="K6" s="7">
        <f>$B6 * IFERROR(VLOOKUP("transport|NOx|Asthma symptoms cough", US_national_yearly!$D:$AM, 19, FALSE) / VLOOKUP("transport|NOx|Asthma symptoms cough", US_national_yearly!$D:$AM, 10, FALSE), 1)</f>
        <v>4.4099703016155012E-4</v>
      </c>
      <c r="L6" s="7">
        <f>$B6 * IFERROR(VLOOKUP("transport|NOx|Asthma symptoms cough", US_national_yearly!$D:$AM, 20, FALSE) / VLOOKUP("transport|NOx|Asthma symptoms cough", US_national_yearly!$D:$AM, 10, FALSE), 1)</f>
        <v>4.4252004510679559E-4</v>
      </c>
      <c r="M6" s="7">
        <f>$B6 * IFERROR(VLOOKUP("transport|NOx|Asthma symptoms cough", US_national_yearly!$D:$AM, 21, FALSE) / VLOOKUP("transport|NOx|Asthma symptoms cough", US_national_yearly!$D:$AM, 10, FALSE), 1)</f>
        <v>4.4404306005204112E-4</v>
      </c>
      <c r="N6" s="7">
        <f>$B6 * IFERROR(VLOOKUP("transport|NOx|Asthma symptoms cough", US_national_yearly!$D:$AM, 22, FALSE) / VLOOKUP("transport|NOx|Asthma symptoms cough", US_national_yearly!$D:$AM, 10, FALSE), 1)</f>
        <v>4.4580910929581781E-4</v>
      </c>
      <c r="O6" s="7">
        <f>$B6 * IFERROR(VLOOKUP("transport|NOx|Asthma symptoms cough", US_national_yearly!$D:$AM, 23, FALSE) / VLOOKUP("transport|NOx|Asthma symptoms cough", US_national_yearly!$D:$AM, 10, FALSE), 1)</f>
        <v>4.4757515853959451E-4</v>
      </c>
      <c r="P6" s="7">
        <f>$B6 * IFERROR(VLOOKUP("transport|NOx|Asthma symptoms cough", US_national_yearly!$D:$AM, 24, FALSE) / VLOOKUP("transport|NOx|Asthma symptoms cough", US_national_yearly!$D:$AM, 10, FALSE), 1)</f>
        <v>4.493412077833712E-4</v>
      </c>
      <c r="Q6" s="7">
        <f>$B6 * IFERROR(VLOOKUP("transport|NOx|Asthma symptoms cough", US_national_yearly!$D:$AM, 25, FALSE) / VLOOKUP("transport|NOx|Asthma symptoms cough", US_national_yearly!$D:$AM, 10, FALSE), 1)</f>
        <v>4.5110725702714795E-4</v>
      </c>
      <c r="R6" s="7">
        <f>$B6 * IFERROR(VLOOKUP("transport|NOx|Asthma symptoms cough", US_national_yearly!$D:$AM, 26, FALSE) / VLOOKUP("transport|NOx|Asthma symptoms cough", US_national_yearly!$D:$AM, 10, FALSE), 1)</f>
        <v>4.5287330627092465E-4</v>
      </c>
      <c r="S6" s="7">
        <f>$B6 * IFERROR(VLOOKUP("transport|NOx|Asthma symptoms cough", US_national_yearly!$D:$AM, 27, FALSE) / VLOOKUP("transport|NOx|Asthma symptoms cough", US_national_yearly!$D:$AM, 10, FALSE), 1)</f>
        <v>4.5518032906581324E-4</v>
      </c>
      <c r="T6" s="7">
        <f>$B6 * IFERROR(VLOOKUP("transport|NOx|Asthma symptoms cough", US_national_yearly!$D:$AM, 28, FALSE) / VLOOKUP("transport|NOx|Asthma symptoms cough", US_national_yearly!$D:$AM, 10, FALSE), 1)</f>
        <v>4.5748735186070173E-4</v>
      </c>
      <c r="U6" s="7">
        <f>$B6 * IFERROR(VLOOKUP("transport|NOx|Asthma symptoms cough", US_national_yearly!$D:$AM, 29, FALSE) / VLOOKUP("transport|NOx|Asthma symptoms cough", US_national_yearly!$D:$AM, 10, FALSE), 1)</f>
        <v>4.597943746555901E-4</v>
      </c>
      <c r="V6" s="7">
        <f>$B6 * IFERROR(VLOOKUP("transport|NOx|Asthma symptoms cough", US_national_yearly!$D:$AM, 30, FALSE) / VLOOKUP("transport|NOx|Asthma symptoms cough", US_national_yearly!$D:$AM, 10, FALSE), 1)</f>
        <v>4.6210139745047864E-4</v>
      </c>
      <c r="W6" s="7">
        <f>$B6 * IFERROR(VLOOKUP("transport|NOx|Asthma symptoms cough", US_national_yearly!$D:$AM, 31, FALSE) / VLOOKUP("transport|NOx|Asthma symptoms cough", US_national_yearly!$D:$AM, 10, FALSE), 1)</f>
        <v>4.6440842024536713E-4</v>
      </c>
      <c r="X6" s="7">
        <f>$B6 * IFERROR(VLOOKUP("transport|NOx|Asthma symptoms cough", US_national_yearly!$D:$AM, 32, FALSE) / VLOOKUP("transport|NOx|Asthma symptoms cough", US_national_yearly!$D:$AM, 10, FALSE), 1)</f>
        <v>4.6655197590765238E-4</v>
      </c>
      <c r="Y6" s="7">
        <f>$B6 * IFERROR(VLOOKUP("transport|NOx|Asthma symptoms cough", US_national_yearly!$D:$AM, 33, FALSE) / VLOOKUP("transport|NOx|Asthma symptoms cough", US_national_yearly!$D:$AM, 10, FALSE), 1)</f>
        <v>4.6869553156993757E-4</v>
      </c>
      <c r="Z6" s="7">
        <f>$B6 * IFERROR(VLOOKUP("transport|NOx|Asthma symptoms cough", US_national_yearly!$D:$AM, 34, FALSE) / VLOOKUP("transport|NOx|Asthma symptoms cough", US_national_yearly!$D:$AM, 10, FALSE), 1)</f>
        <v>4.7083908723222282E-4</v>
      </c>
      <c r="AA6" s="7">
        <f>$B6 * IFERROR(VLOOKUP("transport|NOx|Asthma symptoms cough", US_national_yearly!$D:$AM, 35, FALSE) / VLOOKUP("transport|NOx|Asthma symptoms cough", US_national_yearly!$D:$AM, 10, FALSE), 1)</f>
        <v>4.7298264289450808E-4</v>
      </c>
      <c r="AB6" s="7">
        <f>$B6 * IFERROR(VLOOKUP("transport|NOx|Asthma symptoms cough", US_national_yearly!$D:$AM, 36, FALSE) / VLOOKUP("transport|NOx|Asthma symptoms cough", US_national_yearly!$D:$AM, 10, FALSE), 1)</f>
        <v>4.7512619855679338E-4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5.4593790274360971E-4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5.5340176644141459E-4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5.6086563013921936E-4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5.6832949383702424E-4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5.7579335753482912E-4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5.8175220968786261E-4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5.8771106184089621E-4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5.8976201355549047E-4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5.9181296527008472E-4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5.9386391698467897E-4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5.9591486869927334E-4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5.9796582041386759E-4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6.0034405166376457E-4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6.0272228291366155E-4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6.0510051416355843E-4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6.0747874541345541E-4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6.0985697666335239E-4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6.1296370414546449E-4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6.160704316275767E-4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6.1917715910968869E-4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6.2228388659180069E-4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6.2539061407391268E-4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6.2827721029473258E-4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6.3116380651555249E-4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6.3405040273637251E-4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6.369369989571923E-4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6.3982359517801221E-4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8.3410903445600519E-4</v>
      </c>
      <c r="C8" s="7">
        <f>$B8 * IFERROR(VLOOKUP("transport|NOx|Asthma symptoms wheeze", US_national_yearly!$D:$AM, 11, FALSE) / VLOOKUP("transport|NOx|Asthma symptoms wheeze", US_national_yearly!$D:$AM, 10, FALSE), 1)</f>
        <v>8.4551266868703302E-4</v>
      </c>
      <c r="D8" s="7">
        <f>$B8 * IFERROR(VLOOKUP("transport|NOx|Asthma symptoms wheeze", US_national_yearly!$D:$AM, 12, FALSE) / VLOOKUP("transport|NOx|Asthma symptoms wheeze", US_national_yearly!$D:$AM, 10, FALSE), 1)</f>
        <v>8.5691630291806118E-4</v>
      </c>
      <c r="E8" s="7">
        <f>$B8 * IFERROR(VLOOKUP("transport|NOx|Asthma symptoms wheeze", US_national_yearly!$D:$AM, 13, FALSE) / VLOOKUP("transport|NOx|Asthma symptoms wheeze", US_national_yearly!$D:$AM, 10, FALSE), 1)</f>
        <v>8.6831993714908901E-4</v>
      </c>
      <c r="F8" s="7">
        <f>$B8 * IFERROR(VLOOKUP("transport|NOx|Asthma symptoms wheeze", US_national_yearly!$D:$AM, 14, FALSE) / VLOOKUP("transport|NOx|Asthma symptoms wheeze", US_national_yearly!$D:$AM, 10, FALSE), 1)</f>
        <v>8.7972357138011684E-4</v>
      </c>
      <c r="G8" s="7">
        <f>$B8 * IFERROR(VLOOKUP("transport|NOx|Asthma symptoms wheeze", US_national_yearly!$D:$AM, 15, FALSE) / VLOOKUP("transport|NOx|Asthma symptoms wheeze", US_national_yearly!$D:$AM, 10, FALSE), 1)</f>
        <v>8.8882777977015081E-4</v>
      </c>
      <c r="H8" s="7">
        <f>$B8 * IFERROR(VLOOKUP("transport|NOx|Asthma symptoms wheeze", US_national_yearly!$D:$AM, 16, FALSE) / VLOOKUP("transport|NOx|Asthma symptoms wheeze", US_national_yearly!$D:$AM, 10, FALSE), 1)</f>
        <v>8.979319881601849E-4</v>
      </c>
      <c r="I8" s="7">
        <f>$B8 * IFERROR(VLOOKUP("transport|NOx|Asthma symptoms wheeze", US_national_yearly!$D:$AM, 17, FALSE) / VLOOKUP("transport|NOx|Asthma symptoms wheeze", US_national_yearly!$D:$AM, 10, FALSE), 1)</f>
        <v>9.0106552654810866E-4</v>
      </c>
      <c r="J8" s="7">
        <f>$B8 * IFERROR(VLOOKUP("transport|NOx|Asthma symptoms wheeze", US_national_yearly!$D:$AM, 18, FALSE) / VLOOKUP("transport|NOx|Asthma symptoms wheeze", US_national_yearly!$D:$AM, 10, FALSE), 1)</f>
        <v>9.0419906493603252E-4</v>
      </c>
      <c r="K8" s="7">
        <f>$B8 * IFERROR(VLOOKUP("transport|NOx|Asthma symptoms wheeze", US_national_yearly!$D:$AM, 19, FALSE) / VLOOKUP("transport|NOx|Asthma symptoms wheeze", US_national_yearly!$D:$AM, 10, FALSE), 1)</f>
        <v>9.0733260332395607E-4</v>
      </c>
      <c r="L8" s="7">
        <f>$B8 * IFERROR(VLOOKUP("transport|NOx|Asthma symptoms wheeze", US_national_yearly!$D:$AM, 20, FALSE) / VLOOKUP("transport|NOx|Asthma symptoms wheeze", US_national_yearly!$D:$AM, 10, FALSE), 1)</f>
        <v>9.1046614171188004E-4</v>
      </c>
      <c r="M8" s="7">
        <f>$B8 * IFERROR(VLOOKUP("transport|NOx|Asthma symptoms wheeze", US_national_yearly!$D:$AM, 21, FALSE) / VLOOKUP("transport|NOx|Asthma symptoms wheeze", US_national_yearly!$D:$AM, 10, FALSE), 1)</f>
        <v>9.135996800998038E-4</v>
      </c>
      <c r="N8" s="7">
        <f>$B8 * IFERROR(VLOOKUP("transport|NOx|Asthma symptoms wheeze", US_national_yearly!$D:$AM, 22, FALSE) / VLOOKUP("transport|NOx|Asthma symptoms wheeze", US_national_yearly!$D:$AM, 10, FALSE), 1)</f>
        <v>9.1723325120809918E-4</v>
      </c>
      <c r="O8" s="7">
        <f>$B8 * IFERROR(VLOOKUP("transport|NOx|Asthma symptoms wheeze", US_national_yearly!$D:$AM, 23, FALSE) / VLOOKUP("transport|NOx|Asthma symptoms wheeze", US_national_yearly!$D:$AM, 10, FALSE), 1)</f>
        <v>9.2086682231639467E-4</v>
      </c>
      <c r="P8" s="7">
        <f>$B8 * IFERROR(VLOOKUP("transport|NOx|Asthma symptoms wheeze", US_national_yearly!$D:$AM, 24, FALSE) / VLOOKUP("transport|NOx|Asthma symptoms wheeze", US_national_yearly!$D:$AM, 10, FALSE), 1)</f>
        <v>9.2450039342469004E-4</v>
      </c>
      <c r="Q8" s="7">
        <f>$B8 * IFERROR(VLOOKUP("transport|NOx|Asthma symptoms wheeze", US_national_yearly!$D:$AM, 25, FALSE) / VLOOKUP("transport|NOx|Asthma symptoms wheeze", US_national_yearly!$D:$AM, 10, FALSE), 1)</f>
        <v>9.2813396453298553E-4</v>
      </c>
      <c r="R8" s="7">
        <f>$B8 * IFERROR(VLOOKUP("transport|NOx|Asthma symptoms wheeze", US_national_yearly!$D:$AM, 26, FALSE) / VLOOKUP("transport|NOx|Asthma symptoms wheeze", US_national_yearly!$D:$AM, 10, FALSE), 1)</f>
        <v>9.3176753564128091E-4</v>
      </c>
      <c r="S8" s="7">
        <f>$B8 * IFERROR(VLOOKUP("transport|NOx|Asthma symptoms wheeze", US_national_yearly!$D:$AM, 27, FALSE) / VLOOKUP("transport|NOx|Asthma symptoms wheeze", US_national_yearly!$D:$AM, 10, FALSE), 1)</f>
        <v>9.3651413678972543E-4</v>
      </c>
      <c r="T8" s="7">
        <f>$B8 * IFERROR(VLOOKUP("transport|NOx|Asthma symptoms wheeze", US_national_yearly!$D:$AM, 28, FALSE) / VLOOKUP("transport|NOx|Asthma symptoms wheeze", US_national_yearly!$D:$AM, 10, FALSE), 1)</f>
        <v>9.4126073793817007E-4</v>
      </c>
      <c r="U8" s="7">
        <f>$B8 * IFERROR(VLOOKUP("transport|NOx|Asthma symptoms wheeze", US_national_yearly!$D:$AM, 29, FALSE) / VLOOKUP("transport|NOx|Asthma symptoms wheeze", US_national_yearly!$D:$AM, 10, FALSE), 1)</f>
        <v>9.4600733908661459E-4</v>
      </c>
      <c r="V8" s="7">
        <f>$B8 * IFERROR(VLOOKUP("transport|NOx|Asthma symptoms wheeze", US_national_yearly!$D:$AM, 30, FALSE) / VLOOKUP("transport|NOx|Asthma symptoms wheeze", US_national_yearly!$D:$AM, 10, FALSE), 1)</f>
        <v>9.5075394023505933E-4</v>
      </c>
      <c r="W8" s="7">
        <f>$B8 * IFERROR(VLOOKUP("transport|NOx|Asthma symptoms wheeze", US_national_yearly!$D:$AM, 31, FALSE) / VLOOKUP("transport|NOx|Asthma symptoms wheeze", US_national_yearly!$D:$AM, 10, FALSE), 1)</f>
        <v>9.5550054138350364E-4</v>
      </c>
      <c r="X8" s="7">
        <f>$B8 * IFERROR(VLOOKUP("transport|NOx|Asthma symptoms wheeze", US_national_yearly!$D:$AM, 32, FALSE) / VLOOKUP("transport|NOx|Asthma symptoms wheeze", US_national_yearly!$D:$AM, 10, FALSE), 1)</f>
        <v>9.5991081586689598E-4</v>
      </c>
      <c r="Y8" s="7">
        <f>$B8 * IFERROR(VLOOKUP("transport|NOx|Asthma symptoms wheeze", US_national_yearly!$D:$AM, 33, FALSE) / VLOOKUP("transport|NOx|Asthma symptoms wheeze", US_national_yearly!$D:$AM, 10, FALSE), 1)</f>
        <v>9.643210903502881E-4</v>
      </c>
      <c r="Z8" s="7">
        <f>$B8 * IFERROR(VLOOKUP("transport|NOx|Asthma symptoms wheeze", US_national_yearly!$D:$AM, 34, FALSE) / VLOOKUP("transport|NOx|Asthma symptoms wheeze", US_national_yearly!$D:$AM, 10, FALSE), 1)</f>
        <v>9.6873136483368032E-4</v>
      </c>
      <c r="AA8" s="7">
        <f>$B8 * IFERROR(VLOOKUP("transport|NOx|Asthma symptoms wheeze", US_national_yearly!$D:$AM, 35, FALSE) / VLOOKUP("transport|NOx|Asthma symptoms wheeze", US_national_yearly!$D:$AM, 10, FALSE), 1)</f>
        <v>9.7314163931707244E-4</v>
      </c>
      <c r="AB8" s="7">
        <f>$B8 * IFERROR(VLOOKUP("transport|NOx|Asthma symptoms wheeze", US_national_yearly!$D:$AM, 36, FALSE) / VLOOKUP("transport|NOx|Asthma symptoms wheeze", US_national_yearly!$D:$AM, 10, FALSE), 1)</f>
        <v>9.7755191380046466E-4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1.506618282624092E-5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1.5442003705189454E-5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1.5817824584137995E-5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1.6193645463086533E-5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1.656946634203507E-5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1.6928763893729963E-5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1.7288061445424853E-5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1.7593112453223968E-5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1.7898163461023079E-5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1.8203214468822193E-5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1.8508265476621307E-5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1.8813316484420421E-5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1.9017248575443104E-5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1.9221180666465794E-5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1.9425112757488477E-5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1.9629044848511167E-5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1.9832976939533854E-5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1.9942238227984228E-5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2.0051499516434599E-5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2.0160760804884973E-5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2.0270022093335344E-5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2.0379283381785722E-5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2.0453949277599014E-5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2.0528615173412306E-5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2.0603281069225602E-5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2.0677946965038894E-5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2.0752612860852183E-5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6.8677622555668997E-5</v>
      </c>
      <c r="C13" s="7">
        <f>$B13 * IFERROR(VLOOKUP("transport|NOx|Non-fatal heart attacks", US_national_yearly!$D:$AM, 11, FALSE) / VLOOKUP("transport|NOx|Non-fatal heart attacks", US_national_yearly!$D:$AM, 10, FALSE), 1)</f>
        <v>7.0641055275689492E-5</v>
      </c>
      <c r="D13" s="7">
        <f>$B13 * IFERROR(VLOOKUP("transport|NOx|Non-fatal heart attacks", US_national_yearly!$D:$AM, 12, FALSE) / VLOOKUP("transport|NOx|Non-fatal heart attacks", US_national_yearly!$D:$AM, 10, FALSE), 1)</f>
        <v>7.2604487995710001E-5</v>
      </c>
      <c r="E13" s="7">
        <f>$B13 * IFERROR(VLOOKUP("transport|NOx|Non-fatal heart attacks", US_national_yearly!$D:$AM, 13, FALSE) / VLOOKUP("transport|NOx|Non-fatal heart attacks", US_national_yearly!$D:$AM, 10, FALSE), 1)</f>
        <v>7.4567920715730483E-5</v>
      </c>
      <c r="F13" s="7">
        <f>$B13 * IFERROR(VLOOKUP("transport|NOx|Non-fatal heart attacks", US_national_yearly!$D:$AM, 14, FALSE) / VLOOKUP("transport|NOx|Non-fatal heart attacks", US_national_yearly!$D:$AM, 10, FALSE), 1)</f>
        <v>7.6531353435750979E-5</v>
      </c>
      <c r="G13" s="7">
        <f>$B13 * IFERROR(VLOOKUP("transport|NOx|Non-fatal heart attacks", US_national_yearly!$D:$AM, 15, FALSE) / VLOOKUP("transport|NOx|Non-fatal heart attacks", US_national_yearly!$D:$AM, 10, FALSE), 1)</f>
        <v>7.8366177231915411E-5</v>
      </c>
      <c r="H13" s="7">
        <f>$B13 * IFERROR(VLOOKUP("transport|NOx|Non-fatal heart attacks", US_national_yearly!$D:$AM, 16, FALSE) / VLOOKUP("transport|NOx|Non-fatal heart attacks", US_national_yearly!$D:$AM, 10, FALSE), 1)</f>
        <v>8.0201001028079829E-5</v>
      </c>
      <c r="I13" s="7">
        <f>$B13 * IFERROR(VLOOKUP("transport|NOx|Non-fatal heart attacks", US_national_yearly!$D:$AM, 17, FALSE) / VLOOKUP("transport|NOx|Non-fatal heart attacks", US_national_yearly!$D:$AM, 10, FALSE), 1)</f>
        <v>8.1647549850969294E-5</v>
      </c>
      <c r="J13" s="7">
        <f>$B13 * IFERROR(VLOOKUP("transport|NOx|Non-fatal heart attacks", US_national_yearly!$D:$AM, 18, FALSE) / VLOOKUP("transport|NOx|Non-fatal heart attacks", US_national_yearly!$D:$AM, 10, FALSE), 1)</f>
        <v>8.3094098673858758E-5</v>
      </c>
      <c r="K13" s="7">
        <f>$B13 * IFERROR(VLOOKUP("transport|NOx|Non-fatal heart attacks", US_national_yearly!$D:$AM, 19, FALSE) / VLOOKUP("transport|NOx|Non-fatal heart attacks", US_national_yearly!$D:$AM, 10, FALSE), 1)</f>
        <v>8.4540647496748168E-5</v>
      </c>
      <c r="L13" s="7">
        <f>$B13 * IFERROR(VLOOKUP("transport|NOx|Non-fatal heart attacks", US_national_yearly!$D:$AM, 20, FALSE) / VLOOKUP("transport|NOx|Non-fatal heart attacks", US_national_yearly!$D:$AM, 10, FALSE), 1)</f>
        <v>8.5987196319637672E-5</v>
      </c>
      <c r="M13" s="7">
        <f>$B13 * IFERROR(VLOOKUP("transport|NOx|Non-fatal heart attacks", US_national_yearly!$D:$AM, 21, FALSE) / VLOOKUP("transport|NOx|Non-fatal heart attacks", US_national_yearly!$D:$AM, 10, FALSE), 1)</f>
        <v>8.7433745142527109E-5</v>
      </c>
      <c r="N13" s="7">
        <f>$B13 * IFERROR(VLOOKUP("transport|NOx|Non-fatal heart attacks", US_national_yearly!$D:$AM, 22, FALSE) / VLOOKUP("transport|NOx|Non-fatal heart attacks", US_national_yearly!$D:$AM, 10, FALSE), 1)</f>
        <v>8.8304032783252743E-5</v>
      </c>
      <c r="O13" s="7">
        <f>$B13 * IFERROR(VLOOKUP("transport|NOx|Non-fatal heart attacks", US_national_yearly!$D:$AM, 23, FALSE) / VLOOKUP("transport|NOx|Non-fatal heart attacks", US_national_yearly!$D:$AM, 10, FALSE), 1)</f>
        <v>8.9174320423978363E-5</v>
      </c>
      <c r="P13" s="7">
        <f>$B13 * IFERROR(VLOOKUP("transport|NOx|Non-fatal heart attacks", US_national_yearly!$D:$AM, 24, FALSE) / VLOOKUP("transport|NOx|Non-fatal heart attacks", US_national_yearly!$D:$AM, 10, FALSE), 1)</f>
        <v>9.0044608064703983E-5</v>
      </c>
      <c r="Q13" s="7">
        <f>$B13 * IFERROR(VLOOKUP("transport|NOx|Non-fatal heart attacks", US_national_yearly!$D:$AM, 25, FALSE) / VLOOKUP("transport|NOx|Non-fatal heart attacks", US_national_yearly!$D:$AM, 10, FALSE), 1)</f>
        <v>9.0914895705429617E-5</v>
      </c>
      <c r="R13" s="7">
        <f>$B13 * IFERROR(VLOOKUP("transport|NOx|Non-fatal heart attacks", US_national_yearly!$D:$AM, 26, FALSE) / VLOOKUP("transport|NOx|Non-fatal heart attacks", US_national_yearly!$D:$AM, 10, FALSE), 1)</f>
        <v>9.1785183346155251E-5</v>
      </c>
      <c r="S13" s="7">
        <f>$B13 * IFERROR(VLOOKUP("transport|NOx|Non-fatal heart attacks", US_national_yearly!$D:$AM, 27, FALSE) / VLOOKUP("transport|NOx|Non-fatal heart attacks", US_national_yearly!$D:$AM, 10, FALSE), 1)</f>
        <v>9.2179951839221468E-5</v>
      </c>
      <c r="T13" s="7">
        <f>$B13 * IFERROR(VLOOKUP("transport|NOx|Non-fatal heart attacks", US_national_yearly!$D:$AM, 28, FALSE) / VLOOKUP("transport|NOx|Non-fatal heart attacks", US_national_yearly!$D:$AM, 10, FALSE), 1)</f>
        <v>9.2574720332287699E-5</v>
      </c>
      <c r="U13" s="7">
        <f>$B13 * IFERROR(VLOOKUP("transport|NOx|Non-fatal heart attacks", US_national_yearly!$D:$AM, 29, FALSE) / VLOOKUP("transport|NOx|Non-fatal heart attacks", US_national_yearly!$D:$AM, 10, FALSE), 1)</f>
        <v>9.2969488825353917E-5</v>
      </c>
      <c r="V13" s="7">
        <f>$B13 * IFERROR(VLOOKUP("transport|NOx|Non-fatal heart attacks", US_national_yearly!$D:$AM, 30, FALSE) / VLOOKUP("transport|NOx|Non-fatal heart attacks", US_national_yearly!$D:$AM, 10, FALSE), 1)</f>
        <v>9.3364257318420148E-5</v>
      </c>
      <c r="W13" s="7">
        <f>$B13 * IFERROR(VLOOKUP("transport|NOx|Non-fatal heart attacks", US_national_yearly!$D:$AM, 31, FALSE) / VLOOKUP("transport|NOx|Non-fatal heart attacks", US_national_yearly!$D:$AM, 10, FALSE), 1)</f>
        <v>9.3759025811486366E-5</v>
      </c>
      <c r="X13" s="7">
        <f>$B13 * IFERROR(VLOOKUP("transport|NOx|Non-fatal heart attacks", US_national_yearly!$D:$AM, 32, FALSE) / VLOOKUP("transport|NOx|Non-fatal heart attacks", US_national_yearly!$D:$AM, 10, FALSE), 1)</f>
        <v>9.402283089056489E-5</v>
      </c>
      <c r="Y13" s="7">
        <f>$B13 * IFERROR(VLOOKUP("transport|NOx|Non-fatal heart attacks", US_national_yearly!$D:$AM, 33, FALSE) / VLOOKUP("transport|NOx|Non-fatal heart attacks", US_national_yearly!$D:$AM, 10, FALSE), 1)</f>
        <v>9.4286635969643415E-5</v>
      </c>
      <c r="Z13" s="7">
        <f>$B13 * IFERROR(VLOOKUP("transport|NOx|Non-fatal heart attacks", US_national_yearly!$D:$AM, 34, FALSE) / VLOOKUP("transport|NOx|Non-fatal heart attacks", US_national_yearly!$D:$AM, 10, FALSE), 1)</f>
        <v>9.4550441048721925E-5</v>
      </c>
      <c r="AA13" s="7">
        <f>$B13 * IFERROR(VLOOKUP("transport|NOx|Non-fatal heart attacks", US_national_yearly!$D:$AM, 35, FALSE) / VLOOKUP("transport|NOx|Non-fatal heart attacks", US_national_yearly!$D:$AM, 10, FALSE), 1)</f>
        <v>9.481424612780045E-5</v>
      </c>
      <c r="AB13" s="7">
        <f>$B13 * IFERROR(VLOOKUP("transport|NOx|Non-fatal heart attacks", US_national_yearly!$D:$AM, 36, FALSE) / VLOOKUP("transport|NOx|Non-fatal heart attacks", US_national_yearly!$D:$AM, 10, FALSE), 1)</f>
        <v>9.5078051206878974E-5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5.8342319405389573E-2</v>
      </c>
      <c r="C14" s="7">
        <f>$B14 * IFERROR(VLOOKUP("transport|NOx|Minor restricted activity days", US_national_yearly!$D:$AM, 11, FALSE) / VLOOKUP("transport|NOx|Minor restricted activity days", US_national_yearly!$D:$AM, 10, FALSE), 1)</f>
        <v>5.8431767971965705E-2</v>
      </c>
      <c r="D14" s="7">
        <f>$B14 * IFERROR(VLOOKUP("transport|NOx|Minor restricted activity days", US_national_yearly!$D:$AM, 12, FALSE) / VLOOKUP("transport|NOx|Minor restricted activity days", US_national_yearly!$D:$AM, 10, FALSE), 1)</f>
        <v>5.8521216538541844E-2</v>
      </c>
      <c r="E14" s="7">
        <f>$B14 * IFERROR(VLOOKUP("transport|NOx|Minor restricted activity days", US_national_yearly!$D:$AM, 13, FALSE) / VLOOKUP("transport|NOx|Minor restricted activity days", US_national_yearly!$D:$AM, 10, FALSE), 1)</f>
        <v>5.8610665105117983E-2</v>
      </c>
      <c r="F14" s="7">
        <f>$B14 * IFERROR(VLOOKUP("transport|NOx|Minor restricted activity days", US_national_yearly!$D:$AM, 14, FALSE) / VLOOKUP("transport|NOx|Minor restricted activity days", US_national_yearly!$D:$AM, 10, FALSE), 1)</f>
        <v>5.8700113671694115E-2</v>
      </c>
      <c r="G14" s="7">
        <f>$B14 * IFERROR(VLOOKUP("transport|NOx|Minor restricted activity days", US_national_yearly!$D:$AM, 15, FALSE) / VLOOKUP("transport|NOx|Minor restricted activity days", US_national_yearly!$D:$AM, 10, FALSE), 1)</f>
        <v>5.8861636492342294E-2</v>
      </c>
      <c r="H14" s="7">
        <f>$B14 * IFERROR(VLOOKUP("transport|NOx|Minor restricted activity days", US_national_yearly!$D:$AM, 16, FALSE) / VLOOKUP("transport|NOx|Minor restricted activity days", US_national_yearly!$D:$AM, 10, FALSE), 1)</f>
        <v>5.9023159312990466E-2</v>
      </c>
      <c r="I14" s="7">
        <f>$B14 * IFERROR(VLOOKUP("transport|NOx|Minor restricted activity days", US_national_yearly!$D:$AM, 17, FALSE) / VLOOKUP("transport|NOx|Minor restricted activity days", US_national_yearly!$D:$AM, 10, FALSE), 1)</f>
        <v>5.9339091562905046E-2</v>
      </c>
      <c r="J14" s="7">
        <f>$B14 * IFERROR(VLOOKUP("transport|NOx|Minor restricted activity days", US_national_yearly!$D:$AM, 18, FALSE) / VLOOKUP("transport|NOx|Minor restricted activity days", US_national_yearly!$D:$AM, 10, FALSE), 1)</f>
        <v>5.9655023812819619E-2</v>
      </c>
      <c r="K14" s="7">
        <f>$B14 * IFERROR(VLOOKUP("transport|NOx|Minor restricted activity days", US_national_yearly!$D:$AM, 19, FALSE) / VLOOKUP("transport|NOx|Minor restricted activity days", US_national_yearly!$D:$AM, 10, FALSE), 1)</f>
        <v>5.9970956062734206E-2</v>
      </c>
      <c r="L14" s="7">
        <f>$B14 * IFERROR(VLOOKUP("transport|NOx|Minor restricted activity days", US_national_yearly!$D:$AM, 20, FALSE) / VLOOKUP("transport|NOx|Minor restricted activity days", US_national_yearly!$D:$AM, 10, FALSE), 1)</f>
        <v>6.0286888312648779E-2</v>
      </c>
      <c r="M14" s="7">
        <f>$B14 * IFERROR(VLOOKUP("transport|NOx|Minor restricted activity days", US_national_yearly!$D:$AM, 21, FALSE) / VLOOKUP("transport|NOx|Minor restricted activity days", US_national_yearly!$D:$AM, 10, FALSE), 1)</f>
        <v>6.0602820562563366E-2</v>
      </c>
      <c r="N14" s="7">
        <f>$B14 * IFERROR(VLOOKUP("transport|NOx|Minor restricted activity days", US_national_yearly!$D:$AM, 22, FALSE) / VLOOKUP("transport|NOx|Minor restricted activity days", US_national_yearly!$D:$AM, 10, FALSE), 1)</f>
        <v>6.1055163908354977E-2</v>
      </c>
      <c r="O14" s="7">
        <f>$B14 * IFERROR(VLOOKUP("transport|NOx|Minor restricted activity days", US_national_yearly!$D:$AM, 23, FALSE) / VLOOKUP("transport|NOx|Minor restricted activity days", US_national_yearly!$D:$AM, 10, FALSE), 1)</f>
        <v>6.1507507254146589E-2</v>
      </c>
      <c r="P14" s="7">
        <f>$B14 * IFERROR(VLOOKUP("transport|NOx|Minor restricted activity days", US_national_yearly!$D:$AM, 24, FALSE) / VLOOKUP("transport|NOx|Minor restricted activity days", US_national_yearly!$D:$AM, 10, FALSE), 1)</f>
        <v>6.19598505999382E-2</v>
      </c>
      <c r="Q14" s="7">
        <f>$B14 * IFERROR(VLOOKUP("transport|NOx|Minor restricted activity days", US_national_yearly!$D:$AM, 25, FALSE) / VLOOKUP("transport|NOx|Minor restricted activity days", US_national_yearly!$D:$AM, 10, FALSE), 1)</f>
        <v>6.2412193945729812E-2</v>
      </c>
      <c r="R14" s="7">
        <f>$B14 * IFERROR(VLOOKUP("transport|NOx|Minor restricted activity days", US_national_yearly!$D:$AM, 26, FALSE) / VLOOKUP("transport|NOx|Minor restricted activity days", US_national_yearly!$D:$AM, 10, FALSE), 1)</f>
        <v>6.2864537291521416E-2</v>
      </c>
      <c r="S14" s="7">
        <f>$B14 * IFERROR(VLOOKUP("transport|NOx|Minor restricted activity days", US_national_yearly!$D:$AM, 27, FALSE) / VLOOKUP("transport|NOx|Minor restricted activity days", US_national_yearly!$D:$AM, 10, FALSE), 1)</f>
        <v>6.3316785533092751E-2</v>
      </c>
      <c r="T14" s="7">
        <f>$B14 * IFERROR(VLOOKUP("transport|NOx|Minor restricted activity days", US_national_yearly!$D:$AM, 28, FALSE) / VLOOKUP("transport|NOx|Minor restricted activity days", US_national_yearly!$D:$AM, 10, FALSE), 1)</f>
        <v>6.3769033774664072E-2</v>
      </c>
      <c r="U14" s="7">
        <f>$B14 * IFERROR(VLOOKUP("transport|NOx|Minor restricted activity days", US_national_yearly!$D:$AM, 29, FALSE) / VLOOKUP("transport|NOx|Minor restricted activity days", US_national_yearly!$D:$AM, 10, FALSE), 1)</f>
        <v>6.4221282016235393E-2</v>
      </c>
      <c r="V14" s="7">
        <f>$B14 * IFERROR(VLOOKUP("transport|NOx|Minor restricted activity days", US_national_yearly!$D:$AM, 30, FALSE) / VLOOKUP("transport|NOx|Minor restricted activity days", US_national_yearly!$D:$AM, 10, FALSE), 1)</f>
        <v>6.4673530257806727E-2</v>
      </c>
      <c r="W14" s="7">
        <f>$B14 * IFERROR(VLOOKUP("transport|NOx|Minor restricted activity days", US_national_yearly!$D:$AM, 31, FALSE) / VLOOKUP("transport|NOx|Minor restricted activity days", US_national_yearly!$D:$AM, 10, FALSE), 1)</f>
        <v>6.5125778499378034E-2</v>
      </c>
      <c r="X14" s="7">
        <f>$B14 * IFERROR(VLOOKUP("transport|NOx|Minor restricted activity days", US_national_yearly!$D:$AM, 32, FALSE) / VLOOKUP("transport|NOx|Minor restricted activity days", US_national_yearly!$D:$AM, 10, FALSE), 1)</f>
        <v>6.5508137158854521E-2</v>
      </c>
      <c r="Y14" s="7">
        <f>$B14 * IFERROR(VLOOKUP("transport|NOx|Minor restricted activity days", US_national_yearly!$D:$AM, 33, FALSE) / VLOOKUP("transport|NOx|Minor restricted activity days", US_national_yearly!$D:$AM, 10, FALSE), 1)</f>
        <v>6.5890495818331007E-2</v>
      </c>
      <c r="Z14" s="7">
        <f>$B14 * IFERROR(VLOOKUP("transport|NOx|Minor restricted activity days", US_national_yearly!$D:$AM, 34, FALSE) / VLOOKUP("transport|NOx|Minor restricted activity days", US_national_yearly!$D:$AM, 10, FALSE), 1)</f>
        <v>6.6272854477807494E-2</v>
      </c>
      <c r="AA14" s="7">
        <f>$B14 * IFERROR(VLOOKUP("transport|NOx|Minor restricted activity days", US_national_yearly!$D:$AM, 35, FALSE) / VLOOKUP("transport|NOx|Minor restricted activity days", US_national_yearly!$D:$AM, 10, FALSE), 1)</f>
        <v>6.6655213137283981E-2</v>
      </c>
      <c r="AB14" s="7">
        <f>$B14 * IFERROR(VLOOKUP("transport|NOx|Minor restricted activity days", US_national_yearly!$D:$AM, 36, FALSE) / VLOOKUP("transport|NOx|Minor restricted activity days", US_national_yearly!$D:$AM, 10, FALSE), 1)</f>
        <v>6.7037571796760467E-2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9.789111666948529E-3</v>
      </c>
      <c r="C15" s="7">
        <f>$B15 * IFERROR(VLOOKUP("transport|NOx|Work loss days", US_national_yearly!$D:$AM, 11, FALSE) / VLOOKUP("transport|NOx|Work loss days", US_national_yearly!$D:$AM, 10, FALSE), 1)</f>
        <v>9.8108870192307133E-3</v>
      </c>
      <c r="D15" s="7">
        <f>$B15 * IFERROR(VLOOKUP("transport|NOx|Work loss days", US_national_yearly!$D:$AM, 12, FALSE) / VLOOKUP("transport|NOx|Work loss days", US_national_yearly!$D:$AM, 10, FALSE), 1)</f>
        <v>9.832662371512901E-3</v>
      </c>
      <c r="E15" s="7">
        <f>$B15 * IFERROR(VLOOKUP("transport|NOx|Work loss days", US_national_yearly!$D:$AM, 13, FALSE) / VLOOKUP("transport|NOx|Work loss days", US_national_yearly!$D:$AM, 10, FALSE), 1)</f>
        <v>9.854437723795087E-3</v>
      </c>
      <c r="F15" s="7">
        <f>$B15 * IFERROR(VLOOKUP("transport|NOx|Work loss days", US_national_yearly!$D:$AM, 14, FALSE) / VLOOKUP("transport|NOx|Work loss days", US_national_yearly!$D:$AM, 10, FALSE), 1)</f>
        <v>9.876213076077273E-3</v>
      </c>
      <c r="G15" s="7">
        <f>$B15 * IFERROR(VLOOKUP("transport|NOx|Work loss days", US_national_yearly!$D:$AM, 15, FALSE) / VLOOKUP("transport|NOx|Work loss days", US_national_yearly!$D:$AM, 10, FALSE), 1)</f>
        <v>9.9080052761626874E-3</v>
      </c>
      <c r="H15" s="7">
        <f>$B15 * IFERROR(VLOOKUP("transport|NOx|Work loss days", US_national_yearly!$D:$AM, 16, FALSE) / VLOOKUP("transport|NOx|Work loss days", US_national_yearly!$D:$AM, 10, FALSE), 1)</f>
        <v>9.9397974762481037E-3</v>
      </c>
      <c r="I15" s="7">
        <f>$B15 * IFERROR(VLOOKUP("transport|NOx|Work loss days", US_national_yearly!$D:$AM, 17, FALSE) / VLOOKUP("transport|NOx|Work loss days", US_national_yearly!$D:$AM, 10, FALSE), 1)</f>
        <v>9.9912991173695103E-3</v>
      </c>
      <c r="J15" s="7">
        <f>$B15 * IFERROR(VLOOKUP("transport|NOx|Work loss days", US_national_yearly!$D:$AM, 18, FALSE) / VLOOKUP("transport|NOx|Work loss days", US_national_yearly!$D:$AM, 10, FALSE), 1)</f>
        <v>1.004280075849092E-2</v>
      </c>
      <c r="K15" s="7">
        <f>$B15 * IFERROR(VLOOKUP("transport|NOx|Work loss days", US_national_yearly!$D:$AM, 19, FALSE) / VLOOKUP("transport|NOx|Work loss days", US_national_yearly!$D:$AM, 10, FALSE), 1)</f>
        <v>1.0094302399612327E-2</v>
      </c>
      <c r="L15" s="7">
        <f>$B15 * IFERROR(VLOOKUP("transport|NOx|Work loss days", US_national_yearly!$D:$AM, 20, FALSE) / VLOOKUP("transport|NOx|Work loss days", US_national_yearly!$D:$AM, 10, FALSE), 1)</f>
        <v>1.0145804040733734E-2</v>
      </c>
      <c r="M15" s="7">
        <f>$B15 * IFERROR(VLOOKUP("transport|NOx|Work loss days", US_national_yearly!$D:$AM, 21, FALSE) / VLOOKUP("transport|NOx|Work loss days", US_national_yearly!$D:$AM, 10, FALSE), 1)</f>
        <v>1.0197305681855142E-2</v>
      </c>
      <c r="N15" s="7">
        <f>$B15 * IFERROR(VLOOKUP("transport|NOx|Work loss days", US_national_yearly!$D:$AM, 22, FALSE) / VLOOKUP("transport|NOx|Work loss days", US_national_yearly!$D:$AM, 10, FALSE), 1)</f>
        <v>1.0264331907493185E-2</v>
      </c>
      <c r="O15" s="7">
        <f>$B15 * IFERROR(VLOOKUP("transport|NOx|Work loss days", US_national_yearly!$D:$AM, 23, FALSE) / VLOOKUP("transport|NOx|Work loss days", US_national_yearly!$D:$AM, 10, FALSE), 1)</f>
        <v>1.0331358133131229E-2</v>
      </c>
      <c r="P15" s="7">
        <f>$B15 * IFERROR(VLOOKUP("transport|NOx|Work loss days", US_national_yearly!$D:$AM, 24, FALSE) / VLOOKUP("transport|NOx|Work loss days", US_national_yearly!$D:$AM, 10, FALSE), 1)</f>
        <v>1.0398384358769271E-2</v>
      </c>
      <c r="Q15" s="7">
        <f>$B15 * IFERROR(VLOOKUP("transport|NOx|Work loss days", US_national_yearly!$D:$AM, 25, FALSE) / VLOOKUP("transport|NOx|Work loss days", US_national_yearly!$D:$AM, 10, FALSE), 1)</f>
        <v>1.0465410584407314E-2</v>
      </c>
      <c r="R15" s="7">
        <f>$B15 * IFERROR(VLOOKUP("transport|NOx|Work loss days", US_national_yearly!$D:$AM, 26, FALSE) / VLOOKUP("transport|NOx|Work loss days", US_national_yearly!$D:$AM, 10, FALSE), 1)</f>
        <v>1.0532436810045358E-2</v>
      </c>
      <c r="S15" s="7">
        <f>$B15 * IFERROR(VLOOKUP("transport|NOx|Work loss days", US_national_yearly!$D:$AM, 27, FALSE) / VLOOKUP("transport|NOx|Work loss days", US_national_yearly!$D:$AM, 10, FALSE), 1)</f>
        <v>1.0607162481524201E-2</v>
      </c>
      <c r="T15" s="7">
        <f>$B15 * IFERROR(VLOOKUP("transport|NOx|Work loss days", US_national_yearly!$D:$AM, 28, FALSE) / VLOOKUP("transport|NOx|Work loss days", US_national_yearly!$D:$AM, 10, FALSE), 1)</f>
        <v>1.0681888153003043E-2</v>
      </c>
      <c r="U15" s="7">
        <f>$B15 * IFERROR(VLOOKUP("transport|NOx|Work loss days", US_national_yearly!$D:$AM, 29, FALSE) / VLOOKUP("transport|NOx|Work loss days", US_national_yearly!$D:$AM, 10, FALSE), 1)</f>
        <v>1.0756613824481882E-2</v>
      </c>
      <c r="V15" s="7">
        <f>$B15 * IFERROR(VLOOKUP("transport|NOx|Work loss days", US_national_yearly!$D:$AM, 30, FALSE) / VLOOKUP("transport|NOx|Work loss days", US_national_yearly!$D:$AM, 10, FALSE), 1)</f>
        <v>1.0831339495960724E-2</v>
      </c>
      <c r="W15" s="7">
        <f>$B15 * IFERROR(VLOOKUP("transport|NOx|Work loss days", US_national_yearly!$D:$AM, 31, FALSE) / VLOOKUP("transport|NOx|Work loss days", US_national_yearly!$D:$AM, 10, FALSE), 1)</f>
        <v>1.0906065167439565E-2</v>
      </c>
      <c r="X15" s="7">
        <f>$B15 * IFERROR(VLOOKUP("transport|NOx|Work loss days", US_national_yearly!$D:$AM, 32, FALSE) / VLOOKUP("transport|NOx|Work loss days", US_national_yearly!$D:$AM, 10, FALSE), 1)</f>
        <v>1.097092306615396E-2</v>
      </c>
      <c r="Y15" s="7">
        <f>$B15 * IFERROR(VLOOKUP("transport|NOx|Work loss days", US_national_yearly!$D:$AM, 33, FALSE) / VLOOKUP("transport|NOx|Work loss days", US_national_yearly!$D:$AM, 10, FALSE), 1)</f>
        <v>1.1035780964868354E-2</v>
      </c>
      <c r="Z15" s="7">
        <f>$B15 * IFERROR(VLOOKUP("transport|NOx|Work loss days", US_national_yearly!$D:$AM, 34, FALSE) / VLOOKUP("transport|NOx|Work loss days", US_national_yearly!$D:$AM, 10, FALSE), 1)</f>
        <v>1.1100638863582748E-2</v>
      </c>
      <c r="AA15" s="7">
        <f>$B15 * IFERROR(VLOOKUP("transport|NOx|Work loss days", US_national_yearly!$D:$AM, 35, FALSE) / VLOOKUP("transport|NOx|Work loss days", US_national_yearly!$D:$AM, 10, FALSE), 1)</f>
        <v>1.1165496762297141E-2</v>
      </c>
      <c r="AB15" s="7">
        <f>$B15 * IFERROR(VLOOKUP("transport|NOx|Work loss days", US_national_yearly!$D:$AM, 36, FALSE) / VLOOKUP("transport|NOx|Work loss days", US_national_yearly!$D:$AM, 10, FALSE), 1)</f>
        <v>1.1230354661011535E-2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1.5414173695159491E-5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1.5867113512406061E-5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1.6320053329652624E-5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1.677299314689919E-5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1.7225932964145757E-5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1.7656150885789572E-5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1.8086368807433387E-5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1.8448148890096497E-5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1.8809928972759607E-5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1.9171709055422717E-5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1.953348913808583E-5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1.9895269220748944E-5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2.0121502293943739E-5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2.0347735367138537E-5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2.0573968440333333E-5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2.0800201513528135E-5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2.102643458672293E-5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2.1129658525552777E-5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2.1232882464382624E-5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2.1336106403212464E-5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2.1439330342042311E-5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2.1542554280872158E-5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2.160000198156517E-5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2.1657449682258182E-5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2.1714897382951191E-5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2.1772345083644203E-5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2.1829792784337216E-5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9.2476441552428925E-4</v>
      </c>
      <c r="C2" s="7">
        <f>$B2 * IFERROR(VLOOKUP("transport|SO2|Premature mortality", US_national_yearly!$D:$AM, 11, FALSE) / VLOOKUP("transport|SO2|Premature mortality", US_national_yearly!$D:$AM, 10, FALSE), 1)</f>
        <v>9.3647605648977217E-4</v>
      </c>
      <c r="D2" s="7">
        <f>$B2 * IFERROR(VLOOKUP("transport|SO2|Premature mortality", US_national_yearly!$D:$AM, 12, FALSE) / VLOOKUP("transport|SO2|Premature mortality", US_national_yearly!$D:$AM, 10, FALSE), 1)</f>
        <v>9.481876974552553E-4</v>
      </c>
      <c r="E2" s="7">
        <f>$B2 * IFERROR(VLOOKUP("transport|SO2|Premature mortality", US_national_yearly!$D:$AM, 13, FALSE) / VLOOKUP("transport|SO2|Premature mortality", US_national_yearly!$D:$AM, 10, FALSE), 1)</f>
        <v>9.5989933842073822E-4</v>
      </c>
      <c r="F2" s="7">
        <f>$B2 * IFERROR(VLOOKUP("transport|SO2|Premature mortality", US_national_yearly!$D:$AM, 14, FALSE) / VLOOKUP("transport|SO2|Premature mortality", US_national_yearly!$D:$AM, 10, FALSE), 1)</f>
        <v>9.7161097938622113E-4</v>
      </c>
      <c r="G2" s="7">
        <f>$B2 * IFERROR(VLOOKUP("transport|SO2|Premature mortality", US_national_yearly!$D:$AM, 15, FALSE) / VLOOKUP("transport|SO2|Premature mortality", US_national_yearly!$D:$AM, 10, FALSE), 1)</f>
        <v>9.9417864778290313E-4</v>
      </c>
      <c r="H2" s="7">
        <f>$B2 * IFERROR(VLOOKUP("transport|SO2|Premature mortality", US_national_yearly!$D:$AM, 16, FALSE) / VLOOKUP("transport|SO2|Premature mortality", US_national_yearly!$D:$AM, 10, FALSE), 1)</f>
        <v>1.0167463161795847E-3</v>
      </c>
      <c r="I2" s="7">
        <f>$B2 * IFERROR(VLOOKUP("transport|SO2|Premature mortality", US_national_yearly!$D:$AM, 17, FALSE) / VLOOKUP("transport|SO2|Premature mortality", US_national_yearly!$D:$AM, 10, FALSE), 1)</f>
        <v>1.0316604142678637E-3</v>
      </c>
      <c r="J2" s="7">
        <f>$B2 * IFERROR(VLOOKUP("transport|SO2|Premature mortality", US_national_yearly!$D:$AM, 18, FALSE) / VLOOKUP("transport|SO2|Premature mortality", US_national_yearly!$D:$AM, 10, FALSE), 1)</f>
        <v>1.046574512356143E-3</v>
      </c>
      <c r="K2" s="7">
        <f>$B2 * IFERROR(VLOOKUP("transport|SO2|Premature mortality", US_national_yearly!$D:$AM, 19, FALSE) / VLOOKUP("transport|SO2|Premature mortality", US_national_yearly!$D:$AM, 10, FALSE), 1)</f>
        <v>1.0614886104444218E-3</v>
      </c>
      <c r="L2" s="7">
        <f>$B2 * IFERROR(VLOOKUP("transport|SO2|Premature mortality", US_national_yearly!$D:$AM, 20, FALSE) / VLOOKUP("transport|SO2|Premature mortality", US_national_yearly!$D:$AM, 10, FALSE), 1)</f>
        <v>1.076402708532701E-3</v>
      </c>
      <c r="M2" s="7">
        <f>$B2 * IFERROR(VLOOKUP("transport|SO2|Premature mortality", US_national_yearly!$D:$AM, 21, FALSE) / VLOOKUP("transport|SO2|Premature mortality", US_national_yearly!$D:$AM, 10, FALSE), 1)</f>
        <v>1.09131680662098E-3</v>
      </c>
      <c r="N2" s="7">
        <f>$B2 * IFERROR(VLOOKUP("transport|SO2|Premature mortality", US_national_yearly!$D:$AM, 22, FALSE) / VLOOKUP("transport|SO2|Premature mortality", US_national_yearly!$D:$AM, 10, FALSE), 1)</f>
        <v>1.1029698738858143E-3</v>
      </c>
      <c r="O2" s="7">
        <f>$B2 * IFERROR(VLOOKUP("transport|SO2|Premature mortality", US_national_yearly!$D:$AM, 23, FALSE) / VLOOKUP("transport|SO2|Premature mortality", US_national_yearly!$D:$AM, 10, FALSE), 1)</f>
        <v>1.1146229411506487E-3</v>
      </c>
      <c r="P2" s="7">
        <f>$B2 * IFERROR(VLOOKUP("transport|SO2|Premature mortality", US_national_yearly!$D:$AM, 24, FALSE) / VLOOKUP("transport|SO2|Premature mortality", US_national_yearly!$D:$AM, 10, FALSE), 1)</f>
        <v>1.126276008415483E-3</v>
      </c>
      <c r="Q2" s="7">
        <f>$B2 * IFERROR(VLOOKUP("transport|SO2|Premature mortality", US_national_yearly!$D:$AM, 25, FALSE) / VLOOKUP("transport|SO2|Premature mortality", US_national_yearly!$D:$AM, 10, FALSE), 1)</f>
        <v>1.1379290756803172E-3</v>
      </c>
      <c r="R2" s="7">
        <f>$B2 * IFERROR(VLOOKUP("transport|SO2|Premature mortality", US_national_yearly!$D:$AM, 26, FALSE) / VLOOKUP("transport|SO2|Premature mortality", US_national_yearly!$D:$AM, 10, FALSE), 1)</f>
        <v>1.1495821429451515E-3</v>
      </c>
      <c r="S2" s="7">
        <f>$B2 * IFERROR(VLOOKUP("transport|SO2|Premature mortality", US_national_yearly!$D:$AM, 27, FALSE) / VLOOKUP("transport|SO2|Premature mortality", US_national_yearly!$D:$AM, 10, FALSE), 1)</f>
        <v>1.1558225156283828E-3</v>
      </c>
      <c r="T2" s="7">
        <f>$B2 * IFERROR(VLOOKUP("transport|SO2|Premature mortality", US_national_yearly!$D:$AM, 28, FALSE) / VLOOKUP("transport|SO2|Premature mortality", US_national_yearly!$D:$AM, 10, FALSE), 1)</f>
        <v>1.1620628883116139E-3</v>
      </c>
      <c r="U2" s="7">
        <f>$B2 * IFERROR(VLOOKUP("transport|SO2|Premature mortality", US_national_yearly!$D:$AM, 29, FALSE) / VLOOKUP("transport|SO2|Premature mortality", US_national_yearly!$D:$AM, 10, FALSE), 1)</f>
        <v>1.168303260994845E-3</v>
      </c>
      <c r="V2" s="7">
        <f>$B2 * IFERROR(VLOOKUP("transport|SO2|Premature mortality", US_national_yearly!$D:$AM, 30, FALSE) / VLOOKUP("transport|SO2|Premature mortality", US_national_yearly!$D:$AM, 10, FALSE), 1)</f>
        <v>1.1745436336780761E-3</v>
      </c>
      <c r="W2" s="7">
        <f>$B2 * IFERROR(VLOOKUP("transport|SO2|Premature mortality", US_national_yearly!$D:$AM, 31, FALSE) / VLOOKUP("transport|SO2|Premature mortality", US_national_yearly!$D:$AM, 10, FALSE), 1)</f>
        <v>1.1807840063613074E-3</v>
      </c>
      <c r="X2" s="7">
        <f>$B2 * IFERROR(VLOOKUP("transport|SO2|Premature mortality", US_national_yearly!$D:$AM, 32, FALSE) / VLOOKUP("transport|SO2|Premature mortality", US_national_yearly!$D:$AM, 10, FALSE), 1)</f>
        <v>1.1820517571597704E-3</v>
      </c>
      <c r="Y2" s="7">
        <f>$B2 * IFERROR(VLOOKUP("transport|SO2|Premature mortality", US_national_yearly!$D:$AM, 33, FALSE) / VLOOKUP("transport|SO2|Premature mortality", US_national_yearly!$D:$AM, 10, FALSE), 1)</f>
        <v>1.1833195079582336E-3</v>
      </c>
      <c r="Z2" s="7">
        <f>$B2 * IFERROR(VLOOKUP("transport|SO2|Premature mortality", US_national_yearly!$D:$AM, 34, FALSE) / VLOOKUP("transport|SO2|Premature mortality", US_national_yearly!$D:$AM, 10, FALSE), 1)</f>
        <v>1.1845872587566966E-3</v>
      </c>
      <c r="AA2" s="7">
        <f>$B2 * IFERROR(VLOOKUP("transport|SO2|Premature mortality", US_national_yearly!$D:$AM, 35, FALSE) / VLOOKUP("transport|SO2|Premature mortality", US_national_yearly!$D:$AM, 10, FALSE), 1)</f>
        <v>1.1858550095551598E-3</v>
      </c>
      <c r="AB2" s="7">
        <f>$B2 * IFERROR(VLOOKUP("transport|SO2|Premature mortality", US_national_yearly!$D:$AM, 36, FALSE) / VLOOKUP("transport|SO2|Premature mortality", US_national_yearly!$D:$AM, 10, FALSE), 1)</f>
        <v>1.1871227603536226E-3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1.3630053635177698E-6</v>
      </c>
      <c r="C3" s="7">
        <f>$B3 * IFERROR(VLOOKUP("transport|SO2|Infant mortality", US_national_yearly!$D:$AM, 11, FALSE) / VLOOKUP("transport|SO2|Infant mortality", US_national_yearly!$D:$AM, 10, FALSE), 1)</f>
        <v>1.3512968988253807E-6</v>
      </c>
      <c r="D3" s="7">
        <f>$B3 * IFERROR(VLOOKUP("transport|SO2|Infant mortality", US_national_yearly!$D:$AM, 12, FALSE) / VLOOKUP("transport|SO2|Infant mortality", US_national_yearly!$D:$AM, 10, FALSE), 1)</f>
        <v>1.3395884341329916E-6</v>
      </c>
      <c r="E3" s="7">
        <f>$B3 * IFERROR(VLOOKUP("transport|SO2|Infant mortality", US_national_yearly!$D:$AM, 13, FALSE) / VLOOKUP("transport|SO2|Infant mortality", US_national_yearly!$D:$AM, 10, FALSE), 1)</f>
        <v>1.3278799694406023E-6</v>
      </c>
      <c r="F3" s="7">
        <f>$B3 * IFERROR(VLOOKUP("transport|SO2|Infant mortality", US_national_yearly!$D:$AM, 14, FALSE) / VLOOKUP("transport|SO2|Infant mortality", US_national_yearly!$D:$AM, 10, FALSE), 1)</f>
        <v>1.3161715047482132E-6</v>
      </c>
      <c r="G3" s="7">
        <f>$B3 * IFERROR(VLOOKUP("transport|SO2|Infant mortality", US_national_yearly!$D:$AM, 15, FALSE) / VLOOKUP("transport|SO2|Infant mortality", US_national_yearly!$D:$AM, 10, FALSE), 1)</f>
        <v>8.7667622869576278E-7</v>
      </c>
      <c r="H3" s="7">
        <f>$B3 * IFERROR(VLOOKUP("transport|SO2|Infant mortality", US_national_yearly!$D:$AM, 16, FALSE) / VLOOKUP("transport|SO2|Infant mortality", US_national_yearly!$D:$AM, 10, FALSE), 1)</f>
        <v>4.3718095264331307E-7</v>
      </c>
      <c r="I3" s="7">
        <f>$B3 * IFERROR(VLOOKUP("transport|SO2|Infant mortality", US_national_yearly!$D:$AM, 17, FALSE) / VLOOKUP("transport|SO2|Infant mortality", US_national_yearly!$D:$AM, 10, FALSE), 1)</f>
        <v>4.344383845100685E-7</v>
      </c>
      <c r="J3" s="7">
        <f>$B3 * IFERROR(VLOOKUP("transport|SO2|Infant mortality", US_national_yearly!$D:$AM, 18, FALSE) / VLOOKUP("transport|SO2|Infant mortality", US_national_yearly!$D:$AM, 10, FALSE), 1)</f>
        <v>4.3169581637682399E-7</v>
      </c>
      <c r="K3" s="7">
        <f>$B3 * IFERROR(VLOOKUP("transport|SO2|Infant mortality", US_national_yearly!$D:$AM, 19, FALSE) / VLOOKUP("transport|SO2|Infant mortality", US_national_yearly!$D:$AM, 10, FALSE), 1)</f>
        <v>4.2895324824357943E-7</v>
      </c>
      <c r="L3" s="7">
        <f>$B3 * IFERROR(VLOOKUP("transport|SO2|Infant mortality", US_national_yearly!$D:$AM, 20, FALSE) / VLOOKUP("transport|SO2|Infant mortality", US_national_yearly!$D:$AM, 10, FALSE), 1)</f>
        <v>4.2621068011033497E-7</v>
      </c>
      <c r="M3" s="7">
        <f>$B3 * IFERROR(VLOOKUP("transport|SO2|Infant mortality", US_national_yearly!$D:$AM, 21, FALSE) / VLOOKUP("transport|SO2|Infant mortality", US_national_yearly!$D:$AM, 10, FALSE), 1)</f>
        <v>4.2346811197709046E-7</v>
      </c>
      <c r="N3" s="7">
        <f>$B3 * IFERROR(VLOOKUP("transport|SO2|Infant mortality", US_national_yearly!$D:$AM, 22, FALSE) / VLOOKUP("transport|SO2|Infant mortality", US_national_yearly!$D:$AM, 10, FALSE), 1)</f>
        <v>4.217466224925341E-7</v>
      </c>
      <c r="O3" s="7">
        <f>$B3 * IFERROR(VLOOKUP("transport|SO2|Infant mortality", US_national_yearly!$D:$AM, 23, FALSE) / VLOOKUP("transport|SO2|Infant mortality", US_national_yearly!$D:$AM, 10, FALSE), 1)</f>
        <v>4.2002513300797779E-7</v>
      </c>
      <c r="P3" s="7">
        <f>$B3 * IFERROR(VLOOKUP("transport|SO2|Infant mortality", US_national_yearly!$D:$AM, 24, FALSE) / VLOOKUP("transport|SO2|Infant mortality", US_national_yearly!$D:$AM, 10, FALSE), 1)</f>
        <v>4.1830364352342138E-7</v>
      </c>
      <c r="Q3" s="7">
        <f>$B3 * IFERROR(VLOOKUP("transport|SO2|Infant mortality", US_national_yearly!$D:$AM, 25, FALSE) / VLOOKUP("transport|SO2|Infant mortality", US_national_yearly!$D:$AM, 10, FALSE), 1)</f>
        <v>4.1658215403886502E-7</v>
      </c>
      <c r="R3" s="7">
        <f>$B3 * IFERROR(VLOOKUP("transport|SO2|Infant mortality", US_national_yearly!$D:$AM, 26, FALSE) / VLOOKUP("transport|SO2|Infant mortality", US_national_yearly!$D:$AM, 10, FALSE), 1)</f>
        <v>4.148606645543086E-7</v>
      </c>
      <c r="S3" s="7">
        <f>$B3 * IFERROR(VLOOKUP("transport|SO2|Infant mortality", US_national_yearly!$D:$AM, 27, FALSE) / VLOOKUP("transport|SO2|Infant mortality", US_national_yearly!$D:$AM, 10, FALSE), 1)</f>
        <v>4.1269922963106373E-7</v>
      </c>
      <c r="T3" s="7">
        <f>$B3 * IFERROR(VLOOKUP("transport|SO2|Infant mortality", US_national_yearly!$D:$AM, 28, FALSE) / VLOOKUP("transport|SO2|Infant mortality", US_national_yearly!$D:$AM, 10, FALSE), 1)</f>
        <v>4.1053779470781891E-7</v>
      </c>
      <c r="U3" s="7">
        <f>$B3 * IFERROR(VLOOKUP("transport|SO2|Infant mortality", US_national_yearly!$D:$AM, 29, FALSE) / VLOOKUP("transport|SO2|Infant mortality", US_national_yearly!$D:$AM, 10, FALSE), 1)</f>
        <v>4.0837635978457394E-7</v>
      </c>
      <c r="V3" s="7">
        <f>$B3 * IFERROR(VLOOKUP("transport|SO2|Infant mortality", US_national_yearly!$D:$AM, 30, FALSE) / VLOOKUP("transport|SO2|Infant mortality", US_national_yearly!$D:$AM, 10, FALSE), 1)</f>
        <v>4.0621492486132917E-7</v>
      </c>
      <c r="W3" s="7">
        <f>$B3 * IFERROR(VLOOKUP("transport|SO2|Infant mortality", US_national_yearly!$D:$AM, 31, FALSE) / VLOOKUP("transport|SO2|Infant mortality", US_national_yearly!$D:$AM, 10, FALSE), 1)</f>
        <v>4.0405348993808425E-7</v>
      </c>
      <c r="X3" s="7">
        <f>$B3 * IFERROR(VLOOKUP("transport|SO2|Infant mortality", US_national_yearly!$D:$AM, 32, FALSE) / VLOOKUP("transport|SO2|Infant mortality", US_national_yearly!$D:$AM, 10, FALSE), 1)</f>
        <v>4.0169037439238179E-7</v>
      </c>
      <c r="Y3" s="7">
        <f>$B3 * IFERROR(VLOOKUP("transport|SO2|Infant mortality", US_national_yearly!$D:$AM, 33, FALSE) / VLOOKUP("transport|SO2|Infant mortality", US_national_yearly!$D:$AM, 10, FALSE), 1)</f>
        <v>3.9932725884667923E-7</v>
      </c>
      <c r="Z3" s="7">
        <f>$B3 * IFERROR(VLOOKUP("transport|SO2|Infant mortality", US_national_yearly!$D:$AM, 34, FALSE) / VLOOKUP("transport|SO2|Infant mortality", US_national_yearly!$D:$AM, 10, FALSE), 1)</f>
        <v>3.9696414330097682E-7</v>
      </c>
      <c r="AA3" s="7">
        <f>$B3 * IFERROR(VLOOKUP("transport|SO2|Infant mortality", US_national_yearly!$D:$AM, 35, FALSE) / VLOOKUP("transport|SO2|Infant mortality", US_national_yearly!$D:$AM, 10, FALSE), 1)</f>
        <v>3.9460102775527426E-7</v>
      </c>
      <c r="AB3" s="7">
        <f>$B3 * IFERROR(VLOOKUP("transport|SO2|Infant mortality", US_national_yearly!$D:$AM, 36, FALSE) / VLOOKUP("transport|SO2|Infant mortality", US_national_yearly!$D:$AM, 10, FALSE), 1)</f>
        <v>3.922379122095718E-7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2.0499693695700048E-3</v>
      </c>
      <c r="C6" s="7">
        <f>$B6 * IFERROR(VLOOKUP("transport|SO2|Asthma symptoms cough", US_national_yearly!$D:$AM, 11, FALSE) / VLOOKUP("transport|SO2|Asthma symptoms cough", US_national_yearly!$D:$AM, 10, FALSE), 1)</f>
        <v>2.0499693695700048E-3</v>
      </c>
      <c r="D6" s="7">
        <f>$B6 * IFERROR(VLOOKUP("transport|SO2|Asthma symptoms cough", US_national_yearly!$D:$AM, 12, FALSE) / VLOOKUP("transport|SO2|Asthma symptoms cough", US_national_yearly!$D:$AM, 10, FALSE), 1)</f>
        <v>2.0499693695700048E-3</v>
      </c>
      <c r="E6" s="7">
        <f>$B6 * IFERROR(VLOOKUP("transport|SO2|Asthma symptoms cough", US_national_yearly!$D:$AM, 13, FALSE) / VLOOKUP("transport|SO2|Asthma symptoms cough", US_national_yearly!$D:$AM, 10, FALSE), 1)</f>
        <v>2.0499693695700048E-3</v>
      </c>
      <c r="F6" s="7">
        <f>$B6 * IFERROR(VLOOKUP("transport|SO2|Asthma symptoms cough", US_national_yearly!$D:$AM, 14, FALSE) / VLOOKUP("transport|SO2|Asthma symptoms cough", US_national_yearly!$D:$AM, 10, FALSE), 1)</f>
        <v>2.0499693695700048E-3</v>
      </c>
      <c r="G6" s="7">
        <f>$B6 * IFERROR(VLOOKUP("transport|SO2|Asthma symptoms cough", US_national_yearly!$D:$AM, 15, FALSE) / VLOOKUP("transport|SO2|Asthma symptoms cough", US_national_yearly!$D:$AM, 10, FALSE), 1)</f>
        <v>2.0499693695700048E-3</v>
      </c>
      <c r="H6" s="7">
        <f>$B6 * IFERROR(VLOOKUP("transport|SO2|Asthma symptoms cough", US_national_yearly!$D:$AM, 16, FALSE) / VLOOKUP("transport|SO2|Asthma symptoms cough", US_national_yearly!$D:$AM, 10, FALSE), 1)</f>
        <v>2.0499693695700048E-3</v>
      </c>
      <c r="I6" s="7">
        <f>$B6 * IFERROR(VLOOKUP("transport|SO2|Asthma symptoms cough", US_national_yearly!$D:$AM, 17, FALSE) / VLOOKUP("transport|SO2|Asthma symptoms cough", US_national_yearly!$D:$AM, 10, FALSE), 1)</f>
        <v>2.0499693695700048E-3</v>
      </c>
      <c r="J6" s="7">
        <f>$B6 * IFERROR(VLOOKUP("transport|SO2|Asthma symptoms cough", US_national_yearly!$D:$AM, 18, FALSE) / VLOOKUP("transport|SO2|Asthma symptoms cough", US_national_yearly!$D:$AM, 10, FALSE), 1)</f>
        <v>2.0499693695700048E-3</v>
      </c>
      <c r="K6" s="7">
        <f>$B6 * IFERROR(VLOOKUP("transport|SO2|Asthma symptoms cough", US_national_yearly!$D:$AM, 19, FALSE) / VLOOKUP("transport|SO2|Asthma symptoms cough", US_national_yearly!$D:$AM, 10, FALSE), 1)</f>
        <v>2.0499693695700048E-3</v>
      </c>
      <c r="L6" s="7">
        <f>$B6 * IFERROR(VLOOKUP("transport|SO2|Asthma symptoms cough", US_national_yearly!$D:$AM, 20, FALSE) / VLOOKUP("transport|SO2|Asthma symptoms cough", US_national_yearly!$D:$AM, 10, FALSE), 1)</f>
        <v>2.0499693695700048E-3</v>
      </c>
      <c r="M6" s="7">
        <f>$B6 * IFERROR(VLOOKUP("transport|SO2|Asthma symptoms cough", US_national_yearly!$D:$AM, 21, FALSE) / VLOOKUP("transport|SO2|Asthma symptoms cough", US_national_yearly!$D:$AM, 10, FALSE), 1)</f>
        <v>2.0499693695700048E-3</v>
      </c>
      <c r="N6" s="7">
        <f>$B6 * IFERROR(VLOOKUP("transport|SO2|Asthma symptoms cough", US_national_yearly!$D:$AM, 22, FALSE) / VLOOKUP("transport|SO2|Asthma symptoms cough", US_national_yearly!$D:$AM, 10, FALSE), 1)</f>
        <v>2.0499693695700048E-3</v>
      </c>
      <c r="O6" s="7">
        <f>$B6 * IFERROR(VLOOKUP("transport|SO2|Asthma symptoms cough", US_national_yearly!$D:$AM, 23, FALSE) / VLOOKUP("transport|SO2|Asthma symptoms cough", US_national_yearly!$D:$AM, 10, FALSE), 1)</f>
        <v>2.0499693695700048E-3</v>
      </c>
      <c r="P6" s="7">
        <f>$B6 * IFERROR(VLOOKUP("transport|SO2|Asthma symptoms cough", US_national_yearly!$D:$AM, 24, FALSE) / VLOOKUP("transport|SO2|Asthma symptoms cough", US_national_yearly!$D:$AM, 10, FALSE), 1)</f>
        <v>2.0499693695700048E-3</v>
      </c>
      <c r="Q6" s="7">
        <f>$B6 * IFERROR(VLOOKUP("transport|SO2|Asthma symptoms cough", US_national_yearly!$D:$AM, 25, FALSE) / VLOOKUP("transport|SO2|Asthma symptoms cough", US_national_yearly!$D:$AM, 10, FALSE), 1)</f>
        <v>2.0499693695700048E-3</v>
      </c>
      <c r="R6" s="7">
        <f>$B6 * IFERROR(VLOOKUP("transport|SO2|Asthma symptoms cough", US_national_yearly!$D:$AM, 26, FALSE) / VLOOKUP("transport|SO2|Asthma symptoms cough", US_national_yearly!$D:$AM, 10, FALSE), 1)</f>
        <v>2.0499693695700048E-3</v>
      </c>
      <c r="S6" s="7">
        <f>$B6 * IFERROR(VLOOKUP("transport|SO2|Asthma symptoms cough", US_national_yearly!$D:$AM, 27, FALSE) / VLOOKUP("transport|SO2|Asthma symptoms cough", US_national_yearly!$D:$AM, 10, FALSE), 1)</f>
        <v>2.0499693695700048E-3</v>
      </c>
      <c r="T6" s="7">
        <f>$B6 * IFERROR(VLOOKUP("transport|SO2|Asthma symptoms cough", US_national_yearly!$D:$AM, 28, FALSE) / VLOOKUP("transport|SO2|Asthma symptoms cough", US_national_yearly!$D:$AM, 10, FALSE), 1)</f>
        <v>2.0499693695700048E-3</v>
      </c>
      <c r="U6" s="7">
        <f>$B6 * IFERROR(VLOOKUP("transport|SO2|Asthma symptoms cough", US_national_yearly!$D:$AM, 29, FALSE) / VLOOKUP("transport|SO2|Asthma symptoms cough", US_national_yearly!$D:$AM, 10, FALSE), 1)</f>
        <v>2.0499693695700048E-3</v>
      </c>
      <c r="V6" s="7">
        <f>$B6 * IFERROR(VLOOKUP("transport|SO2|Asthma symptoms cough", US_national_yearly!$D:$AM, 30, FALSE) / VLOOKUP("transport|SO2|Asthma symptoms cough", US_national_yearly!$D:$AM, 10, FALSE), 1)</f>
        <v>2.0499693695700048E-3</v>
      </c>
      <c r="W6" s="7">
        <f>$B6 * IFERROR(VLOOKUP("transport|SO2|Asthma symptoms cough", US_national_yearly!$D:$AM, 31, FALSE) / VLOOKUP("transport|SO2|Asthma symptoms cough", US_national_yearly!$D:$AM, 10, FALSE), 1)</f>
        <v>2.0499693695700048E-3</v>
      </c>
      <c r="X6" s="7">
        <f>$B6 * IFERROR(VLOOKUP("transport|SO2|Asthma symptoms cough", US_national_yearly!$D:$AM, 32, FALSE) / VLOOKUP("transport|SO2|Asthma symptoms cough", US_national_yearly!$D:$AM, 10, FALSE), 1)</f>
        <v>2.0499693695700048E-3</v>
      </c>
      <c r="Y6" s="7">
        <f>$B6 * IFERROR(VLOOKUP("transport|SO2|Asthma symptoms cough", US_national_yearly!$D:$AM, 33, FALSE) / VLOOKUP("transport|SO2|Asthma symptoms cough", US_national_yearly!$D:$AM, 10, FALSE), 1)</f>
        <v>2.0499693695700048E-3</v>
      </c>
      <c r="Z6" s="7">
        <f>$B6 * IFERROR(VLOOKUP("transport|SO2|Asthma symptoms cough", US_national_yearly!$D:$AM, 34, FALSE) / VLOOKUP("transport|SO2|Asthma symptoms cough", US_national_yearly!$D:$AM, 10, FALSE), 1)</f>
        <v>2.0499693695700048E-3</v>
      </c>
      <c r="AA6" s="7">
        <f>$B6 * IFERROR(VLOOKUP("transport|SO2|Asthma symptoms cough", US_national_yearly!$D:$AM, 35, FALSE) / VLOOKUP("transport|SO2|Asthma symptoms cough", US_national_yearly!$D:$AM, 10, FALSE), 1)</f>
        <v>2.0499693695700048E-3</v>
      </c>
      <c r="AB6" s="7">
        <f>$B6 * IFERROR(VLOOKUP("transport|SO2|Asthma symptoms cough", US_national_yearly!$D:$AM, 36, FALSE) / VLOOKUP("transport|SO2|Asthma symptoms cough", US_national_yearly!$D:$AM, 10, FALSE), 1)</f>
        <v>2.0499693695700048E-3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2.7605843101434196E-3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2.7605843101434196E-3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2.7605843101434196E-3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2.7605843101434196E-3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2.7605843101434196E-3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2.7605843101434196E-3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2.7605843101434196E-3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2.7605843101434196E-3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2.7605843101434196E-3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2.7605843101434196E-3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2.7605843101434196E-3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2.7605843101434196E-3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2.7605843101434196E-3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2.7605843101434196E-3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2.7605843101434196E-3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2.7605843101434196E-3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2.7605843101434196E-3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2.7605843101434196E-3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2.7605843101434196E-3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2.7605843101434196E-3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2.7605843101434196E-3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2.7605843101434196E-3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2.7605843101434196E-3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2.7605843101434196E-3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2.7605843101434196E-3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2.7605843101434196E-3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2.7605843101434196E-3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4.217693777739541E-3</v>
      </c>
      <c r="C8" s="7">
        <f>$B8 * IFERROR(VLOOKUP("transport|SO2|Asthma symptoms wheeze", US_national_yearly!$D:$AM, 11, FALSE) / VLOOKUP("transport|SO2|Asthma symptoms wheeze", US_national_yearly!$D:$AM, 10, FALSE), 1)</f>
        <v>4.217693777739541E-3</v>
      </c>
      <c r="D8" s="7">
        <f>$B8 * IFERROR(VLOOKUP("transport|SO2|Asthma symptoms wheeze", US_national_yearly!$D:$AM, 12, FALSE) / VLOOKUP("transport|SO2|Asthma symptoms wheeze", US_national_yearly!$D:$AM, 10, FALSE), 1)</f>
        <v>4.217693777739541E-3</v>
      </c>
      <c r="E8" s="7">
        <f>$B8 * IFERROR(VLOOKUP("transport|SO2|Asthma symptoms wheeze", US_national_yearly!$D:$AM, 13, FALSE) / VLOOKUP("transport|SO2|Asthma symptoms wheeze", US_national_yearly!$D:$AM, 10, FALSE), 1)</f>
        <v>4.217693777739541E-3</v>
      </c>
      <c r="F8" s="7">
        <f>$B8 * IFERROR(VLOOKUP("transport|SO2|Asthma symptoms wheeze", US_national_yearly!$D:$AM, 14, FALSE) / VLOOKUP("transport|SO2|Asthma symptoms wheeze", US_national_yearly!$D:$AM, 10, FALSE), 1)</f>
        <v>4.217693777739541E-3</v>
      </c>
      <c r="G8" s="7">
        <f>$B8 * IFERROR(VLOOKUP("transport|SO2|Asthma symptoms wheeze", US_national_yearly!$D:$AM, 15, FALSE) / VLOOKUP("transport|SO2|Asthma symptoms wheeze", US_national_yearly!$D:$AM, 10, FALSE), 1)</f>
        <v>4.217693777739541E-3</v>
      </c>
      <c r="H8" s="7">
        <f>$B8 * IFERROR(VLOOKUP("transport|SO2|Asthma symptoms wheeze", US_national_yearly!$D:$AM, 16, FALSE) / VLOOKUP("transport|SO2|Asthma symptoms wheeze", US_national_yearly!$D:$AM, 10, FALSE), 1)</f>
        <v>4.217693777739541E-3</v>
      </c>
      <c r="I8" s="7">
        <f>$B8 * IFERROR(VLOOKUP("transport|SO2|Asthma symptoms wheeze", US_national_yearly!$D:$AM, 17, FALSE) / VLOOKUP("transport|SO2|Asthma symptoms wheeze", US_national_yearly!$D:$AM, 10, FALSE), 1)</f>
        <v>4.217693777739541E-3</v>
      </c>
      <c r="J8" s="7">
        <f>$B8 * IFERROR(VLOOKUP("transport|SO2|Asthma symptoms wheeze", US_national_yearly!$D:$AM, 18, FALSE) / VLOOKUP("transport|SO2|Asthma symptoms wheeze", US_national_yearly!$D:$AM, 10, FALSE), 1)</f>
        <v>4.217693777739541E-3</v>
      </c>
      <c r="K8" s="7">
        <f>$B8 * IFERROR(VLOOKUP("transport|SO2|Asthma symptoms wheeze", US_national_yearly!$D:$AM, 19, FALSE) / VLOOKUP("transport|SO2|Asthma symptoms wheeze", US_national_yearly!$D:$AM, 10, FALSE), 1)</f>
        <v>4.217693777739541E-3</v>
      </c>
      <c r="L8" s="7">
        <f>$B8 * IFERROR(VLOOKUP("transport|SO2|Asthma symptoms wheeze", US_national_yearly!$D:$AM, 20, FALSE) / VLOOKUP("transport|SO2|Asthma symptoms wheeze", US_national_yearly!$D:$AM, 10, FALSE), 1)</f>
        <v>4.217693777739541E-3</v>
      </c>
      <c r="M8" s="7">
        <f>$B8 * IFERROR(VLOOKUP("transport|SO2|Asthma symptoms wheeze", US_national_yearly!$D:$AM, 21, FALSE) / VLOOKUP("transport|SO2|Asthma symptoms wheeze", US_national_yearly!$D:$AM, 10, FALSE), 1)</f>
        <v>4.217693777739541E-3</v>
      </c>
      <c r="N8" s="7">
        <f>$B8 * IFERROR(VLOOKUP("transport|SO2|Asthma symptoms wheeze", US_national_yearly!$D:$AM, 22, FALSE) / VLOOKUP("transport|SO2|Asthma symptoms wheeze", US_national_yearly!$D:$AM, 10, FALSE), 1)</f>
        <v>4.217693777739541E-3</v>
      </c>
      <c r="O8" s="7">
        <f>$B8 * IFERROR(VLOOKUP("transport|SO2|Asthma symptoms wheeze", US_national_yearly!$D:$AM, 23, FALSE) / VLOOKUP("transport|SO2|Asthma symptoms wheeze", US_national_yearly!$D:$AM, 10, FALSE), 1)</f>
        <v>4.217693777739541E-3</v>
      </c>
      <c r="P8" s="7">
        <f>$B8 * IFERROR(VLOOKUP("transport|SO2|Asthma symptoms wheeze", US_national_yearly!$D:$AM, 24, FALSE) / VLOOKUP("transport|SO2|Asthma symptoms wheeze", US_national_yearly!$D:$AM, 10, FALSE), 1)</f>
        <v>4.217693777739541E-3</v>
      </c>
      <c r="Q8" s="7">
        <f>$B8 * IFERROR(VLOOKUP("transport|SO2|Asthma symptoms wheeze", US_national_yearly!$D:$AM, 25, FALSE) / VLOOKUP("transport|SO2|Asthma symptoms wheeze", US_national_yearly!$D:$AM, 10, FALSE), 1)</f>
        <v>4.217693777739541E-3</v>
      </c>
      <c r="R8" s="7">
        <f>$B8 * IFERROR(VLOOKUP("transport|SO2|Asthma symptoms wheeze", US_national_yearly!$D:$AM, 26, FALSE) / VLOOKUP("transport|SO2|Asthma symptoms wheeze", US_national_yearly!$D:$AM, 10, FALSE), 1)</f>
        <v>4.217693777739541E-3</v>
      </c>
      <c r="S8" s="7">
        <f>$B8 * IFERROR(VLOOKUP("transport|SO2|Asthma symptoms wheeze", US_national_yearly!$D:$AM, 27, FALSE) / VLOOKUP("transport|SO2|Asthma symptoms wheeze", US_national_yearly!$D:$AM, 10, FALSE), 1)</f>
        <v>4.217693777739541E-3</v>
      </c>
      <c r="T8" s="7">
        <f>$B8 * IFERROR(VLOOKUP("transport|SO2|Asthma symptoms wheeze", US_national_yearly!$D:$AM, 28, FALSE) / VLOOKUP("transport|SO2|Asthma symptoms wheeze", US_national_yearly!$D:$AM, 10, FALSE), 1)</f>
        <v>4.217693777739541E-3</v>
      </c>
      <c r="U8" s="7">
        <f>$B8 * IFERROR(VLOOKUP("transport|SO2|Asthma symptoms wheeze", US_national_yearly!$D:$AM, 29, FALSE) / VLOOKUP("transport|SO2|Asthma symptoms wheeze", US_national_yearly!$D:$AM, 10, FALSE), 1)</f>
        <v>4.217693777739541E-3</v>
      </c>
      <c r="V8" s="7">
        <f>$B8 * IFERROR(VLOOKUP("transport|SO2|Asthma symptoms wheeze", US_national_yearly!$D:$AM, 30, FALSE) / VLOOKUP("transport|SO2|Asthma symptoms wheeze", US_national_yearly!$D:$AM, 10, FALSE), 1)</f>
        <v>4.217693777739541E-3</v>
      </c>
      <c r="W8" s="7">
        <f>$B8 * IFERROR(VLOOKUP("transport|SO2|Asthma symptoms wheeze", US_national_yearly!$D:$AM, 31, FALSE) / VLOOKUP("transport|SO2|Asthma symptoms wheeze", US_national_yearly!$D:$AM, 10, FALSE), 1)</f>
        <v>4.217693777739541E-3</v>
      </c>
      <c r="X8" s="7">
        <f>$B8 * IFERROR(VLOOKUP("transport|SO2|Asthma symptoms wheeze", US_national_yearly!$D:$AM, 32, FALSE) / VLOOKUP("transport|SO2|Asthma symptoms wheeze", US_national_yearly!$D:$AM, 10, FALSE), 1)</f>
        <v>4.217693777739541E-3</v>
      </c>
      <c r="Y8" s="7">
        <f>$B8 * IFERROR(VLOOKUP("transport|SO2|Asthma symptoms wheeze", US_national_yearly!$D:$AM, 33, FALSE) / VLOOKUP("transport|SO2|Asthma symptoms wheeze", US_national_yearly!$D:$AM, 10, FALSE), 1)</f>
        <v>4.217693777739541E-3</v>
      </c>
      <c r="Z8" s="7">
        <f>$B8 * IFERROR(VLOOKUP("transport|SO2|Asthma symptoms wheeze", US_national_yearly!$D:$AM, 34, FALSE) / VLOOKUP("transport|SO2|Asthma symptoms wheeze", US_national_yearly!$D:$AM, 10, FALSE), 1)</f>
        <v>4.217693777739541E-3</v>
      </c>
      <c r="AA8" s="7">
        <f>$B8 * IFERROR(VLOOKUP("transport|SO2|Asthma symptoms wheeze", US_national_yearly!$D:$AM, 35, FALSE) / VLOOKUP("transport|SO2|Asthma symptoms wheeze", US_national_yearly!$D:$AM, 10, FALSE), 1)</f>
        <v>4.217693777739541E-3</v>
      </c>
      <c r="AB8" s="7">
        <f>$B8 * IFERROR(VLOOKUP("transport|SO2|Asthma symptoms wheeze", US_national_yearly!$D:$AM, 36, FALSE) / VLOOKUP("transport|SO2|Asthma symptoms wheeze", US_national_yearly!$D:$AM, 10, FALSE), 1)</f>
        <v>4.217693777739541E-3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7.6714477383062291E-5</v>
      </c>
      <c r="C12" s="7">
        <f>$B12 * IFERROR(VLOOKUP("transport|SO2|Respiratory hospital admissions", US_national_yearly!$D:$AM, 11, FALSE) / VLOOKUP("transport|SO2|Respiratory hospital admissions", US_national_yearly!$D:$AM, 10, FALSE), 1)</f>
        <v>7.7166943182985841E-5</v>
      </c>
      <c r="D12" s="7">
        <f>$B12 * IFERROR(VLOOKUP("transport|SO2|Respiratory hospital admissions", US_national_yearly!$D:$AM, 12, FALSE) / VLOOKUP("transport|SO2|Respiratory hospital admissions", US_national_yearly!$D:$AM, 10, FALSE), 1)</f>
        <v>7.7619408982909378E-5</v>
      </c>
      <c r="E12" s="7">
        <f>$B12 * IFERROR(VLOOKUP("transport|SO2|Respiratory hospital admissions", US_national_yearly!$D:$AM, 13, FALSE) / VLOOKUP("transport|SO2|Respiratory hospital admissions", US_national_yearly!$D:$AM, 10, FALSE), 1)</f>
        <v>7.8071874782832928E-5</v>
      </c>
      <c r="F12" s="7">
        <f>$B12 * IFERROR(VLOOKUP("transport|SO2|Respiratory hospital admissions", US_national_yearly!$D:$AM, 14, FALSE) / VLOOKUP("transport|SO2|Respiratory hospital admissions", US_national_yearly!$D:$AM, 10, FALSE), 1)</f>
        <v>7.8524340582756464E-5</v>
      </c>
      <c r="G12" s="7">
        <f>$B12 * IFERROR(VLOOKUP("transport|SO2|Respiratory hospital admissions", US_national_yearly!$D:$AM, 15, FALSE) / VLOOKUP("transport|SO2|Respiratory hospital admissions", US_national_yearly!$D:$AM, 10, FALSE), 1)</f>
        <v>7.9017604622529688E-5</v>
      </c>
      <c r="H12" s="7">
        <f>$B12 * IFERROR(VLOOKUP("transport|SO2|Respiratory hospital admissions", US_national_yearly!$D:$AM, 16, FALSE) / VLOOKUP("transport|SO2|Respiratory hospital admissions", US_national_yearly!$D:$AM, 10, FALSE), 1)</f>
        <v>7.9510868662302899E-5</v>
      </c>
      <c r="I12" s="7">
        <f>$B12 * IFERROR(VLOOKUP("transport|SO2|Respiratory hospital admissions", US_national_yearly!$D:$AM, 17, FALSE) / VLOOKUP("transport|SO2|Respiratory hospital admissions", US_national_yearly!$D:$AM, 10, FALSE), 1)</f>
        <v>7.9997285735573291E-5</v>
      </c>
      <c r="J12" s="7">
        <f>$B12 * IFERROR(VLOOKUP("transport|SO2|Respiratory hospital admissions", US_national_yearly!$D:$AM, 18, FALSE) / VLOOKUP("transport|SO2|Respiratory hospital admissions", US_national_yearly!$D:$AM, 10, FALSE), 1)</f>
        <v>8.0483702808843696E-5</v>
      </c>
      <c r="K12" s="7">
        <f>$B12 * IFERROR(VLOOKUP("transport|SO2|Respiratory hospital admissions", US_national_yearly!$D:$AM, 19, FALSE) / VLOOKUP("transport|SO2|Respiratory hospital admissions", US_national_yearly!$D:$AM, 10, FALSE), 1)</f>
        <v>8.0970119882114061E-5</v>
      </c>
      <c r="L12" s="7">
        <f>$B12 * IFERROR(VLOOKUP("transport|SO2|Respiratory hospital admissions", US_national_yearly!$D:$AM, 20, FALSE) / VLOOKUP("transport|SO2|Respiratory hospital admissions", US_national_yearly!$D:$AM, 10, FALSE), 1)</f>
        <v>8.1456536955384467E-5</v>
      </c>
      <c r="M12" s="7">
        <f>$B12 * IFERROR(VLOOKUP("transport|SO2|Respiratory hospital admissions", US_national_yearly!$D:$AM, 21, FALSE) / VLOOKUP("transport|SO2|Respiratory hospital admissions", US_national_yearly!$D:$AM, 10, FALSE), 1)</f>
        <v>8.1942954028654846E-5</v>
      </c>
      <c r="N12" s="7">
        <f>$B12 * IFERROR(VLOOKUP("transport|SO2|Respiratory hospital admissions", US_national_yearly!$D:$AM, 22, FALSE) / VLOOKUP("transport|SO2|Respiratory hospital admissions", US_national_yearly!$D:$AM, 10, FALSE), 1)</f>
        <v>8.2298023477129302E-5</v>
      </c>
      <c r="O12" s="7">
        <f>$B12 * IFERROR(VLOOKUP("transport|SO2|Respiratory hospital admissions", US_national_yearly!$D:$AM, 23, FALSE) / VLOOKUP("transport|SO2|Respiratory hospital admissions", US_national_yearly!$D:$AM, 10, FALSE), 1)</f>
        <v>8.2653092925603745E-5</v>
      </c>
      <c r="P12" s="7">
        <f>$B12 * IFERROR(VLOOKUP("transport|SO2|Respiratory hospital admissions", US_national_yearly!$D:$AM, 24, FALSE) / VLOOKUP("transport|SO2|Respiratory hospital admissions", US_national_yearly!$D:$AM, 10, FALSE), 1)</f>
        <v>8.3008162374078174E-5</v>
      </c>
      <c r="Q12" s="7">
        <f>$B12 * IFERROR(VLOOKUP("transport|SO2|Respiratory hospital admissions", US_national_yearly!$D:$AM, 25, FALSE) / VLOOKUP("transport|SO2|Respiratory hospital admissions", US_national_yearly!$D:$AM, 10, FALSE), 1)</f>
        <v>8.3363231822552645E-5</v>
      </c>
      <c r="R12" s="7">
        <f>$B12 * IFERROR(VLOOKUP("transport|SO2|Respiratory hospital admissions", US_national_yearly!$D:$AM, 26, FALSE) / VLOOKUP("transport|SO2|Respiratory hospital admissions", US_national_yearly!$D:$AM, 10, FALSE), 1)</f>
        <v>8.3718301271027074E-5</v>
      </c>
      <c r="S12" s="7">
        <f>$B12 * IFERROR(VLOOKUP("transport|SO2|Respiratory hospital admissions", US_national_yearly!$D:$AM, 27, FALSE) / VLOOKUP("transport|SO2|Respiratory hospital admissions", US_national_yearly!$D:$AM, 10, FALSE), 1)</f>
        <v>8.4057010432308295E-5</v>
      </c>
      <c r="T12" s="7">
        <f>$B12 * IFERROR(VLOOKUP("transport|SO2|Respiratory hospital admissions", US_national_yearly!$D:$AM, 28, FALSE) / VLOOKUP("transport|SO2|Respiratory hospital admissions", US_national_yearly!$D:$AM, 10, FALSE), 1)</f>
        <v>8.4395719593589489E-5</v>
      </c>
      <c r="U12" s="7">
        <f>$B12 * IFERROR(VLOOKUP("transport|SO2|Respiratory hospital admissions", US_national_yearly!$D:$AM, 29, FALSE) / VLOOKUP("transport|SO2|Respiratory hospital admissions", US_national_yearly!$D:$AM, 10, FALSE), 1)</f>
        <v>8.4734428754870697E-5</v>
      </c>
      <c r="V12" s="7">
        <f>$B12 * IFERROR(VLOOKUP("transport|SO2|Respiratory hospital admissions", US_national_yearly!$D:$AM, 30, FALSE) / VLOOKUP("transport|SO2|Respiratory hospital admissions", US_national_yearly!$D:$AM, 10, FALSE), 1)</f>
        <v>8.5073137916151918E-5</v>
      </c>
      <c r="W12" s="7">
        <f>$B12 * IFERROR(VLOOKUP("transport|SO2|Respiratory hospital admissions", US_national_yearly!$D:$AM, 31, FALSE) / VLOOKUP("transport|SO2|Respiratory hospital admissions", US_national_yearly!$D:$AM, 10, FALSE), 1)</f>
        <v>8.5411847077433126E-5</v>
      </c>
      <c r="X12" s="7">
        <f>$B12 * IFERROR(VLOOKUP("transport|SO2|Respiratory hospital admissions", US_national_yearly!$D:$AM, 32, FALSE) / VLOOKUP("transport|SO2|Respiratory hospital admissions", US_national_yearly!$D:$AM, 10, FALSE), 1)</f>
        <v>8.5733226462053307E-5</v>
      </c>
      <c r="Y12" s="7">
        <f>$B12 * IFERROR(VLOOKUP("transport|SO2|Respiratory hospital admissions", US_national_yearly!$D:$AM, 33, FALSE) / VLOOKUP("transport|SO2|Respiratory hospital admissions", US_national_yearly!$D:$AM, 10, FALSE), 1)</f>
        <v>8.6054605846673488E-5</v>
      </c>
      <c r="Z12" s="7">
        <f>$B12 * IFERROR(VLOOKUP("transport|SO2|Respiratory hospital admissions", US_national_yearly!$D:$AM, 34, FALSE) / VLOOKUP("transport|SO2|Respiratory hospital admissions", US_national_yearly!$D:$AM, 10, FALSE), 1)</f>
        <v>8.6375985231293669E-5</v>
      </c>
      <c r="AA12" s="7">
        <f>$B12 * IFERROR(VLOOKUP("transport|SO2|Respiratory hospital admissions", US_national_yearly!$D:$AM, 35, FALSE) / VLOOKUP("transport|SO2|Respiratory hospital admissions", US_national_yearly!$D:$AM, 10, FALSE), 1)</f>
        <v>8.6697364615913851E-5</v>
      </c>
      <c r="AB12" s="7">
        <f>$B12 * IFERROR(VLOOKUP("transport|SO2|Respiratory hospital admissions", US_national_yearly!$D:$AM, 36, FALSE) / VLOOKUP("transport|SO2|Respiratory hospital admissions", US_national_yearly!$D:$AM, 10, FALSE), 1)</f>
        <v>8.7018744000534059E-5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3.2349499234706896E-4</v>
      </c>
      <c r="C13" s="7">
        <f>$B13 * IFERROR(VLOOKUP("transport|SO2|Non-fatal heart attacks", US_national_yearly!$D:$AM, 11, FALSE) / VLOOKUP("transport|SO2|Non-fatal heart attacks", US_national_yearly!$D:$AM, 10, FALSE), 1)</f>
        <v>3.3299163032414063E-4</v>
      </c>
      <c r="D13" s="7">
        <f>$B13 * IFERROR(VLOOKUP("transport|SO2|Non-fatal heart attacks", US_national_yearly!$D:$AM, 12, FALSE) / VLOOKUP("transport|SO2|Non-fatal heart attacks", US_national_yearly!$D:$AM, 10, FALSE), 1)</f>
        <v>3.4248826830121231E-4</v>
      </c>
      <c r="E13" s="7">
        <f>$B13 * IFERROR(VLOOKUP("transport|SO2|Non-fatal heart attacks", US_national_yearly!$D:$AM, 13, FALSE) / VLOOKUP("transport|SO2|Non-fatal heart attacks", US_national_yearly!$D:$AM, 10, FALSE), 1)</f>
        <v>3.5198490627828398E-4</v>
      </c>
      <c r="F13" s="7">
        <f>$B13 * IFERROR(VLOOKUP("transport|SO2|Non-fatal heart attacks", US_national_yearly!$D:$AM, 14, FALSE) / VLOOKUP("transport|SO2|Non-fatal heart attacks", US_national_yearly!$D:$AM, 10, FALSE), 1)</f>
        <v>3.614815442553556E-4</v>
      </c>
      <c r="G13" s="7">
        <f>$B13 * IFERROR(VLOOKUP("transport|SO2|Non-fatal heart attacks", US_national_yearly!$D:$AM, 15, FALSE) / VLOOKUP("transport|SO2|Non-fatal heart attacks", US_national_yearly!$D:$AM, 10, FALSE), 1)</f>
        <v>3.7043775473471861E-4</v>
      </c>
      <c r="H13" s="7">
        <f>$B13 * IFERROR(VLOOKUP("transport|SO2|Non-fatal heart attacks", US_national_yearly!$D:$AM, 16, FALSE) / VLOOKUP("transport|SO2|Non-fatal heart attacks", US_national_yearly!$D:$AM, 10, FALSE), 1)</f>
        <v>3.7939396521408163E-4</v>
      </c>
      <c r="I13" s="7">
        <f>$B13 * IFERROR(VLOOKUP("transport|SO2|Non-fatal heart attacks", US_national_yearly!$D:$AM, 17, FALSE) / VLOOKUP("transport|SO2|Non-fatal heart attacks", US_national_yearly!$D:$AM, 10, FALSE), 1)</f>
        <v>3.8660090700783431E-4</v>
      </c>
      <c r="J13" s="7">
        <f>$B13 * IFERROR(VLOOKUP("transport|SO2|Non-fatal heart attacks", US_national_yearly!$D:$AM, 18, FALSE) / VLOOKUP("transport|SO2|Non-fatal heart attacks", US_national_yearly!$D:$AM, 10, FALSE), 1)</f>
        <v>3.9380784880158705E-4</v>
      </c>
      <c r="K13" s="7">
        <f>$B13 * IFERROR(VLOOKUP("transport|SO2|Non-fatal heart attacks", US_national_yearly!$D:$AM, 19, FALSE) / VLOOKUP("transport|SO2|Non-fatal heart attacks", US_national_yearly!$D:$AM, 10, FALSE), 1)</f>
        <v>4.0101479059533973E-4</v>
      </c>
      <c r="L13" s="7">
        <f>$B13 * IFERROR(VLOOKUP("transport|SO2|Non-fatal heart attacks", US_national_yearly!$D:$AM, 20, FALSE) / VLOOKUP("transport|SO2|Non-fatal heart attacks", US_national_yearly!$D:$AM, 10, FALSE), 1)</f>
        <v>4.0822173238909252E-4</v>
      </c>
      <c r="M13" s="7">
        <f>$B13 * IFERROR(VLOOKUP("transport|SO2|Non-fatal heart attacks", US_national_yearly!$D:$AM, 21, FALSE) / VLOOKUP("transport|SO2|Non-fatal heart attacks", US_national_yearly!$D:$AM, 10, FALSE), 1)</f>
        <v>4.1542867418284531E-4</v>
      </c>
      <c r="N13" s="7">
        <f>$B13 * IFERROR(VLOOKUP("transport|SO2|Non-fatal heart attacks", US_national_yearly!$D:$AM, 22, FALSE) / VLOOKUP("transport|SO2|Non-fatal heart attacks", US_national_yearly!$D:$AM, 10, FALSE), 1)</f>
        <v>4.2010822856093795E-4</v>
      </c>
      <c r="O13" s="7">
        <f>$B13 * IFERROR(VLOOKUP("transport|SO2|Non-fatal heart attacks", US_national_yearly!$D:$AM, 23, FALSE) / VLOOKUP("transport|SO2|Non-fatal heart attacks", US_national_yearly!$D:$AM, 10, FALSE), 1)</f>
        <v>4.247877829390307E-4</v>
      </c>
      <c r="P13" s="7">
        <f>$B13 * IFERROR(VLOOKUP("transport|SO2|Non-fatal heart attacks", US_national_yearly!$D:$AM, 24, FALSE) / VLOOKUP("transport|SO2|Non-fatal heart attacks", US_national_yearly!$D:$AM, 10, FALSE), 1)</f>
        <v>4.2946733731712351E-4</v>
      </c>
      <c r="Q13" s="7">
        <f>$B13 * IFERROR(VLOOKUP("transport|SO2|Non-fatal heart attacks", US_national_yearly!$D:$AM, 25, FALSE) / VLOOKUP("transport|SO2|Non-fatal heart attacks", US_national_yearly!$D:$AM, 10, FALSE), 1)</f>
        <v>4.341468916952162E-4</v>
      </c>
      <c r="R13" s="7">
        <f>$B13 * IFERROR(VLOOKUP("transport|SO2|Non-fatal heart attacks", US_national_yearly!$D:$AM, 26, FALSE) / VLOOKUP("transport|SO2|Non-fatal heart attacks", US_national_yearly!$D:$AM, 10, FALSE), 1)</f>
        <v>4.3882644607330895E-4</v>
      </c>
      <c r="S13" s="7">
        <f>$B13 * IFERROR(VLOOKUP("transport|SO2|Non-fatal heart attacks", US_national_yearly!$D:$AM, 27, FALSE) / VLOOKUP("transport|SO2|Non-fatal heart attacks", US_national_yearly!$D:$AM, 10, FALSE), 1)</f>
        <v>4.4126961509260499E-4</v>
      </c>
      <c r="T13" s="7">
        <f>$B13 * IFERROR(VLOOKUP("transport|SO2|Non-fatal heart attacks", US_national_yearly!$D:$AM, 28, FALSE) / VLOOKUP("transport|SO2|Non-fatal heart attacks", US_national_yearly!$D:$AM, 10, FALSE), 1)</f>
        <v>4.4371278411190097E-4</v>
      </c>
      <c r="U13" s="7">
        <f>$B13 * IFERROR(VLOOKUP("transport|SO2|Non-fatal heart attacks", US_national_yearly!$D:$AM, 29, FALSE) / VLOOKUP("transport|SO2|Non-fatal heart attacks", US_national_yearly!$D:$AM, 10, FALSE), 1)</f>
        <v>4.4615595313119696E-4</v>
      </c>
      <c r="V13" s="7">
        <f>$B13 * IFERROR(VLOOKUP("transport|SO2|Non-fatal heart attacks", US_national_yearly!$D:$AM, 30, FALSE) / VLOOKUP("transport|SO2|Non-fatal heart attacks", US_national_yearly!$D:$AM, 10, FALSE), 1)</f>
        <v>4.4859912215049289E-4</v>
      </c>
      <c r="W13" s="7">
        <f>$B13 * IFERROR(VLOOKUP("transport|SO2|Non-fatal heart attacks", US_national_yearly!$D:$AM, 31, FALSE) / VLOOKUP("transport|SO2|Non-fatal heart attacks", US_national_yearly!$D:$AM, 10, FALSE), 1)</f>
        <v>4.5104229116978899E-4</v>
      </c>
      <c r="X13" s="7">
        <f>$B13 * IFERROR(VLOOKUP("transport|SO2|Non-fatal heart attacks", US_national_yearly!$D:$AM, 32, FALSE) / VLOOKUP("transport|SO2|Non-fatal heart attacks", US_national_yearly!$D:$AM, 10, FALSE), 1)</f>
        <v>4.5288667006595427E-4</v>
      </c>
      <c r="Y13" s="7">
        <f>$B13 * IFERROR(VLOOKUP("transport|SO2|Non-fatal heart attacks", US_national_yearly!$D:$AM, 33, FALSE) / VLOOKUP("transport|SO2|Non-fatal heart attacks", US_national_yearly!$D:$AM, 10, FALSE), 1)</f>
        <v>4.5473104896211956E-4</v>
      </c>
      <c r="Z13" s="7">
        <f>$B13 * IFERROR(VLOOKUP("transport|SO2|Non-fatal heart attacks", US_national_yearly!$D:$AM, 34, FALSE) / VLOOKUP("transport|SO2|Non-fatal heart attacks", US_national_yearly!$D:$AM, 10, FALSE), 1)</f>
        <v>4.565754278582848E-4</v>
      </c>
      <c r="AA13" s="7">
        <f>$B13 * IFERROR(VLOOKUP("transport|SO2|Non-fatal heart attacks", US_national_yearly!$D:$AM, 35, FALSE) / VLOOKUP("transport|SO2|Non-fatal heart attacks", US_national_yearly!$D:$AM, 10, FALSE), 1)</f>
        <v>4.5841980675445009E-4</v>
      </c>
      <c r="AB13" s="7">
        <f>$B13 * IFERROR(VLOOKUP("transport|SO2|Non-fatal heart attacks", US_national_yearly!$D:$AM, 36, FALSE) / VLOOKUP("transport|SO2|Non-fatal heart attacks", US_national_yearly!$D:$AM, 10, FALSE), 1)</f>
        <v>4.6026418565061537E-4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0.29525674045578743</v>
      </c>
      <c r="C14" s="7">
        <f>$B14 * IFERROR(VLOOKUP("transport|SO2|Minor restricted activity days", US_national_yearly!$D:$AM, 11, FALSE) / VLOOKUP("transport|SO2|Minor restricted activity days", US_national_yearly!$D:$AM, 10, FALSE), 1)</f>
        <v>0.29600098432119742</v>
      </c>
      <c r="D14" s="7">
        <f>$B14 * IFERROR(VLOOKUP("transport|SO2|Minor restricted activity days", US_national_yearly!$D:$AM, 12, FALSE) / VLOOKUP("transport|SO2|Minor restricted activity days", US_national_yearly!$D:$AM, 10, FALSE), 1)</f>
        <v>0.29674522818660731</v>
      </c>
      <c r="E14" s="7">
        <f>$B14 * IFERROR(VLOOKUP("transport|SO2|Minor restricted activity days", US_national_yearly!$D:$AM, 13, FALSE) / VLOOKUP("transport|SO2|Minor restricted activity days", US_national_yearly!$D:$AM, 10, FALSE), 1)</f>
        <v>0.29748947205201731</v>
      </c>
      <c r="F14" s="7">
        <f>$B14 * IFERROR(VLOOKUP("transport|SO2|Minor restricted activity days", US_national_yearly!$D:$AM, 14, FALSE) / VLOOKUP("transport|SO2|Minor restricted activity days", US_national_yearly!$D:$AM, 10, FALSE), 1)</f>
        <v>0.2982337159174272</v>
      </c>
      <c r="G14" s="7">
        <f>$B14 * IFERROR(VLOOKUP("transport|SO2|Minor restricted activity days", US_national_yearly!$D:$AM, 15, FALSE) / VLOOKUP("transport|SO2|Minor restricted activity days", US_national_yearly!$D:$AM, 10, FALSE), 1)</f>
        <v>0.29932916977238505</v>
      </c>
      <c r="H14" s="7">
        <f>$B14 * IFERROR(VLOOKUP("transport|SO2|Minor restricted activity days", US_national_yearly!$D:$AM, 16, FALSE) / VLOOKUP("transport|SO2|Minor restricted activity days", US_national_yearly!$D:$AM, 10, FALSE), 1)</f>
        <v>0.3004246236273429</v>
      </c>
      <c r="I14" s="7">
        <f>$B14 * IFERROR(VLOOKUP("transport|SO2|Minor restricted activity days", US_national_yearly!$D:$AM, 17, FALSE) / VLOOKUP("transport|SO2|Minor restricted activity days", US_national_yearly!$D:$AM, 10, FALSE), 1)</f>
        <v>0.30229281806871089</v>
      </c>
      <c r="J14" s="7">
        <f>$B14 * IFERROR(VLOOKUP("transport|SO2|Minor restricted activity days", US_national_yearly!$D:$AM, 18, FALSE) / VLOOKUP("transport|SO2|Minor restricted activity days", US_national_yearly!$D:$AM, 10, FALSE), 1)</f>
        <v>0.30416101251007888</v>
      </c>
      <c r="K14" s="7">
        <f>$B14 * IFERROR(VLOOKUP("transport|SO2|Minor restricted activity days", US_national_yearly!$D:$AM, 19, FALSE) / VLOOKUP("transport|SO2|Minor restricted activity days", US_national_yearly!$D:$AM, 10, FALSE), 1)</f>
        <v>0.30602920695144692</v>
      </c>
      <c r="L14" s="7">
        <f>$B14 * IFERROR(VLOOKUP("transport|SO2|Minor restricted activity days", US_national_yearly!$D:$AM, 20, FALSE) / VLOOKUP("transport|SO2|Minor restricted activity days", US_national_yearly!$D:$AM, 10, FALSE), 1)</f>
        <v>0.30789740139281491</v>
      </c>
      <c r="M14" s="7">
        <f>$B14 * IFERROR(VLOOKUP("transport|SO2|Minor restricted activity days", US_national_yearly!$D:$AM, 21, FALSE) / VLOOKUP("transport|SO2|Minor restricted activity days", US_national_yearly!$D:$AM, 10, FALSE), 1)</f>
        <v>0.30976559583418284</v>
      </c>
      <c r="N14" s="7">
        <f>$B14 * IFERROR(VLOOKUP("transport|SO2|Minor restricted activity days", US_national_yearly!$D:$AM, 22, FALSE) / VLOOKUP("transport|SO2|Minor restricted activity days", US_national_yearly!$D:$AM, 10, FALSE), 1)</f>
        <v>0.31232098606140274</v>
      </c>
      <c r="O14" s="7">
        <f>$B14 * IFERROR(VLOOKUP("transport|SO2|Minor restricted activity days", US_national_yearly!$D:$AM, 23, FALSE) / VLOOKUP("transport|SO2|Minor restricted activity days", US_national_yearly!$D:$AM, 10, FALSE), 1)</f>
        <v>0.31487637628862264</v>
      </c>
      <c r="P14" s="7">
        <f>$B14 * IFERROR(VLOOKUP("transport|SO2|Minor restricted activity days", US_national_yearly!$D:$AM, 24, FALSE) / VLOOKUP("transport|SO2|Minor restricted activity days", US_national_yearly!$D:$AM, 10, FALSE), 1)</f>
        <v>0.31743176651584254</v>
      </c>
      <c r="Q14" s="7">
        <f>$B14 * IFERROR(VLOOKUP("transport|SO2|Minor restricted activity days", US_national_yearly!$D:$AM, 25, FALSE) / VLOOKUP("transport|SO2|Minor restricted activity days", US_national_yearly!$D:$AM, 10, FALSE), 1)</f>
        <v>0.31998715674306238</v>
      </c>
      <c r="R14" s="7">
        <f>$B14 * IFERROR(VLOOKUP("transport|SO2|Minor restricted activity days", US_national_yearly!$D:$AM, 26, FALSE) / VLOOKUP("transport|SO2|Minor restricted activity days", US_national_yearly!$D:$AM, 10, FALSE), 1)</f>
        <v>0.32254254697028228</v>
      </c>
      <c r="S14" s="7">
        <f>$B14 * IFERROR(VLOOKUP("transport|SO2|Minor restricted activity days", US_national_yearly!$D:$AM, 27, FALSE) / VLOOKUP("transport|SO2|Minor restricted activity days", US_national_yearly!$D:$AM, 10, FALSE), 1)</f>
        <v>0.32514801741300409</v>
      </c>
      <c r="T14" s="7">
        <f>$B14 * IFERROR(VLOOKUP("transport|SO2|Minor restricted activity days", US_national_yearly!$D:$AM, 28, FALSE) / VLOOKUP("transport|SO2|Minor restricted activity days", US_national_yearly!$D:$AM, 10, FALSE), 1)</f>
        <v>0.32775348785572589</v>
      </c>
      <c r="U14" s="7">
        <f>$B14 * IFERROR(VLOOKUP("transport|SO2|Minor restricted activity days", US_national_yearly!$D:$AM, 29, FALSE) / VLOOKUP("transport|SO2|Minor restricted activity days", US_national_yearly!$D:$AM, 10, FALSE), 1)</f>
        <v>0.33035895829844775</v>
      </c>
      <c r="V14" s="7">
        <f>$B14 * IFERROR(VLOOKUP("transport|SO2|Minor restricted activity days", US_national_yearly!$D:$AM, 30, FALSE) / VLOOKUP("transport|SO2|Minor restricted activity days", US_national_yearly!$D:$AM, 10, FALSE), 1)</f>
        <v>0.33296442874116955</v>
      </c>
      <c r="W14" s="7">
        <f>$B14 * IFERROR(VLOOKUP("transport|SO2|Minor restricted activity days", US_national_yearly!$D:$AM, 31, FALSE) / VLOOKUP("transport|SO2|Minor restricted activity days", US_national_yearly!$D:$AM, 10, FALSE), 1)</f>
        <v>0.33556989918389141</v>
      </c>
      <c r="X14" s="7">
        <f>$B14 * IFERROR(VLOOKUP("transport|SO2|Minor restricted activity days", US_national_yearly!$D:$AM, 32, FALSE) / VLOOKUP("transport|SO2|Minor restricted activity days", US_national_yearly!$D:$AM, 10, FALSE), 1)</f>
        <v>0.33786120281140947</v>
      </c>
      <c r="Y14" s="7">
        <f>$B14 * IFERROR(VLOOKUP("transport|SO2|Minor restricted activity days", US_national_yearly!$D:$AM, 33, FALSE) / VLOOKUP("transport|SO2|Minor restricted activity days", US_national_yearly!$D:$AM, 10, FALSE), 1)</f>
        <v>0.34015250643892753</v>
      </c>
      <c r="Z14" s="7">
        <f>$B14 * IFERROR(VLOOKUP("transport|SO2|Minor restricted activity days", US_national_yearly!$D:$AM, 34, FALSE) / VLOOKUP("transport|SO2|Minor restricted activity days", US_national_yearly!$D:$AM, 10, FALSE), 1)</f>
        <v>0.34244381006644564</v>
      </c>
      <c r="AA14" s="7">
        <f>$B14 * IFERROR(VLOOKUP("transport|SO2|Minor restricted activity days", US_national_yearly!$D:$AM, 35, FALSE) / VLOOKUP("transport|SO2|Minor restricted activity days", US_national_yearly!$D:$AM, 10, FALSE), 1)</f>
        <v>0.3447351136939637</v>
      </c>
      <c r="AB14" s="7">
        <f>$B14 * IFERROR(VLOOKUP("transport|SO2|Minor restricted activity days", US_national_yearly!$D:$AM, 36, FALSE) / VLOOKUP("transport|SO2|Minor restricted activity days", US_national_yearly!$D:$AM, 10, FALSE), 1)</f>
        <v>0.34702641732148182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4.9684469721216824E-2</v>
      </c>
      <c r="C15" s="7">
        <f>$B15 * IFERROR(VLOOKUP("transport|SO2|Work loss days", US_national_yearly!$D:$AM, 11, FALSE) / VLOOKUP("transport|SO2|Work loss days", US_national_yearly!$D:$AM, 10, FALSE), 1)</f>
        <v>4.9845439506465597E-2</v>
      </c>
      <c r="D15" s="7">
        <f>$B15 * IFERROR(VLOOKUP("transport|SO2|Work loss days", US_national_yearly!$D:$AM, 12, FALSE) / VLOOKUP("transport|SO2|Work loss days", US_national_yearly!$D:$AM, 10, FALSE), 1)</f>
        <v>5.0006409291714377E-2</v>
      </c>
      <c r="E15" s="7">
        <f>$B15 * IFERROR(VLOOKUP("transport|SO2|Work loss days", US_national_yearly!$D:$AM, 13, FALSE) / VLOOKUP("transport|SO2|Work loss days", US_national_yearly!$D:$AM, 10, FALSE), 1)</f>
        <v>5.0167379076963149E-2</v>
      </c>
      <c r="F15" s="7">
        <f>$B15 * IFERROR(VLOOKUP("transport|SO2|Work loss days", US_national_yearly!$D:$AM, 14, FALSE) / VLOOKUP("transport|SO2|Work loss days", US_national_yearly!$D:$AM, 10, FALSE), 1)</f>
        <v>5.0328348862211922E-2</v>
      </c>
      <c r="G15" s="7">
        <f>$B15 * IFERROR(VLOOKUP("transport|SO2|Work loss days", US_national_yearly!$D:$AM, 15, FALSE) / VLOOKUP("transport|SO2|Work loss days", US_national_yearly!$D:$AM, 10, FALSE), 1)</f>
        <v>5.0538675582551554E-2</v>
      </c>
      <c r="H15" s="7">
        <f>$B15 * IFERROR(VLOOKUP("transport|SO2|Work loss days", US_national_yearly!$D:$AM, 16, FALSE) / VLOOKUP("transport|SO2|Work loss days", US_national_yearly!$D:$AM, 10, FALSE), 1)</f>
        <v>5.0749002302891172E-2</v>
      </c>
      <c r="I15" s="7">
        <f>$B15 * IFERROR(VLOOKUP("transport|SO2|Work loss days", US_national_yearly!$D:$AM, 17, FALSE) / VLOOKUP("transport|SO2|Work loss days", US_national_yearly!$D:$AM, 10, FALSE), 1)</f>
        <v>5.1056682060422784E-2</v>
      </c>
      <c r="J15" s="7">
        <f>$B15 * IFERROR(VLOOKUP("transport|SO2|Work loss days", US_national_yearly!$D:$AM, 18, FALSE) / VLOOKUP("transport|SO2|Work loss days", US_national_yearly!$D:$AM, 10, FALSE), 1)</f>
        <v>5.1364361817954389E-2</v>
      </c>
      <c r="K15" s="7">
        <f>$B15 * IFERROR(VLOOKUP("transport|SO2|Work loss days", US_national_yearly!$D:$AM, 19, FALSE) / VLOOKUP("transport|SO2|Work loss days", US_national_yearly!$D:$AM, 10, FALSE), 1)</f>
        <v>5.1672041575486008E-2</v>
      </c>
      <c r="L15" s="7">
        <f>$B15 * IFERROR(VLOOKUP("transport|SO2|Work loss days", US_national_yearly!$D:$AM, 20, FALSE) / VLOOKUP("transport|SO2|Work loss days", US_national_yearly!$D:$AM, 10, FALSE), 1)</f>
        <v>5.197972133301762E-2</v>
      </c>
      <c r="M15" s="7">
        <f>$B15 * IFERROR(VLOOKUP("transport|SO2|Work loss days", US_national_yearly!$D:$AM, 21, FALSE) / VLOOKUP("transport|SO2|Work loss days", US_national_yearly!$D:$AM, 10, FALSE), 1)</f>
        <v>5.2287401090549239E-2</v>
      </c>
      <c r="N15" s="7">
        <f>$B15 * IFERROR(VLOOKUP("transport|SO2|Work loss days", US_national_yearly!$D:$AM, 22, FALSE) / VLOOKUP("transport|SO2|Work loss days", US_national_yearly!$D:$AM, 10, FALSE), 1)</f>
        <v>5.2673181646811285E-2</v>
      </c>
      <c r="O15" s="7">
        <f>$B15 * IFERROR(VLOOKUP("transport|SO2|Work loss days", US_national_yearly!$D:$AM, 23, FALSE) / VLOOKUP("transport|SO2|Work loss days", US_national_yearly!$D:$AM, 10, FALSE), 1)</f>
        <v>5.3058962203073337E-2</v>
      </c>
      <c r="P15" s="7">
        <f>$B15 * IFERROR(VLOOKUP("transport|SO2|Work loss days", US_national_yearly!$D:$AM, 24, FALSE) / VLOOKUP("transport|SO2|Work loss days", US_national_yearly!$D:$AM, 10, FALSE), 1)</f>
        <v>5.3444742759335376E-2</v>
      </c>
      <c r="Q15" s="7">
        <f>$B15 * IFERROR(VLOOKUP("transport|SO2|Work loss days", US_national_yearly!$D:$AM, 25, FALSE) / VLOOKUP("transport|SO2|Work loss days", US_national_yearly!$D:$AM, 10, FALSE), 1)</f>
        <v>5.3830523315597428E-2</v>
      </c>
      <c r="R15" s="7">
        <f>$B15 * IFERROR(VLOOKUP("transport|SO2|Work loss days", US_national_yearly!$D:$AM, 26, FALSE) / VLOOKUP("transport|SO2|Work loss days", US_national_yearly!$D:$AM, 10, FALSE), 1)</f>
        <v>5.4216303871859481E-2</v>
      </c>
      <c r="S15" s="7">
        <f>$B15 * IFERROR(VLOOKUP("transport|SO2|Work loss days", US_national_yearly!$D:$AM, 27, FALSE) / VLOOKUP("transport|SO2|Work loss days", US_national_yearly!$D:$AM, 10, FALSE), 1)</f>
        <v>5.4647412371580072E-2</v>
      </c>
      <c r="T15" s="7">
        <f>$B15 * IFERROR(VLOOKUP("transport|SO2|Work loss days", US_national_yearly!$D:$AM, 28, FALSE) / VLOOKUP("transport|SO2|Work loss days", US_national_yearly!$D:$AM, 10, FALSE), 1)</f>
        <v>5.5078520871300669E-2</v>
      </c>
      <c r="U15" s="7">
        <f>$B15 * IFERROR(VLOOKUP("transport|SO2|Work loss days", US_national_yearly!$D:$AM, 29, FALSE) / VLOOKUP("transport|SO2|Work loss days", US_national_yearly!$D:$AM, 10, FALSE), 1)</f>
        <v>5.550962937102126E-2</v>
      </c>
      <c r="V15" s="7">
        <f>$B15 * IFERROR(VLOOKUP("transport|SO2|Work loss days", US_national_yearly!$D:$AM, 30, FALSE) / VLOOKUP("transport|SO2|Work loss days", US_national_yearly!$D:$AM, 10, FALSE), 1)</f>
        <v>5.5940737870741851E-2</v>
      </c>
      <c r="W15" s="7">
        <f>$B15 * IFERROR(VLOOKUP("transport|SO2|Work loss days", US_national_yearly!$D:$AM, 31, FALSE) / VLOOKUP("transport|SO2|Work loss days", US_national_yearly!$D:$AM, 10, FALSE), 1)</f>
        <v>5.6371846370462456E-2</v>
      </c>
      <c r="X15" s="7">
        <f>$B15 * IFERROR(VLOOKUP("transport|SO2|Work loss days", US_national_yearly!$D:$AM, 32, FALSE) / VLOOKUP("transport|SO2|Work loss days", US_national_yearly!$D:$AM, 10, FALSE), 1)</f>
        <v>5.6758922380675085E-2</v>
      </c>
      <c r="Y15" s="7">
        <f>$B15 * IFERROR(VLOOKUP("transport|SO2|Work loss days", US_national_yearly!$D:$AM, 33, FALSE) / VLOOKUP("transport|SO2|Work loss days", US_national_yearly!$D:$AM, 10, FALSE), 1)</f>
        <v>5.7145998390887721E-2</v>
      </c>
      <c r="Z15" s="7">
        <f>$B15 * IFERROR(VLOOKUP("transport|SO2|Work loss days", US_national_yearly!$D:$AM, 34, FALSE) / VLOOKUP("transport|SO2|Work loss days", US_national_yearly!$D:$AM, 10, FALSE), 1)</f>
        <v>5.7533074401100365E-2</v>
      </c>
      <c r="AA15" s="7">
        <f>$B15 * IFERROR(VLOOKUP("transport|SO2|Work loss days", US_national_yearly!$D:$AM, 35, FALSE) / VLOOKUP("transport|SO2|Work loss days", US_national_yearly!$D:$AM, 10, FALSE), 1)</f>
        <v>5.7920150411313008E-2</v>
      </c>
      <c r="AB15" s="7">
        <f>$B15 * IFERROR(VLOOKUP("transport|SO2|Work loss days", US_national_yearly!$D:$AM, 36, FALSE) / VLOOKUP("transport|SO2|Work loss days", US_national_yearly!$D:$AM, 10, FALSE), 1)</f>
        <v>5.8307226421525644E-2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7.7054040017965895E-5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7.9384449260527594E-5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8.1714858503089294E-5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8.4045267745650994E-5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8.6375676988212707E-5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8.8607987455303086E-5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9.0840297922393479E-5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9.2752952361105175E-5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9.4665606799816858E-5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9.657826123852854E-5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9.8490915677240236E-5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1.0040357011595191E-4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1.0168843821564853E-4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1.0297330631534516E-4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1.0425817441504178E-4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1.0554304251473841E-4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1.0682791061443504E-4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1.0750365975218132E-4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1.0817940888992761E-4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1.0885515802767389E-4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1.0953090716542017E-4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1.1020665630316644E-4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1.1066030903789533E-4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1.1111396177262421E-4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1.1156761450735309E-4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1.1202126724208198E-4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1.1247491997681086E-4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3.4845311774268201E-3</v>
      </c>
      <c r="C2" s="7">
        <f>$B2 * IFERROR(VLOOKUP("electricity|PM25|Premature mortality", US_national_yearly!$D:$AM, 11, FALSE) / VLOOKUP("electricity|PM25|Premature mortality", US_national_yearly!$D:$AM, 10, FALSE), 1)</f>
        <v>3.5276914089951241E-3</v>
      </c>
      <c r="D2" s="7">
        <f>$B2 * IFERROR(VLOOKUP("electricity|PM25|Premature mortality", US_national_yearly!$D:$AM, 12, FALSE) / VLOOKUP("electricity|PM25|Premature mortality", US_national_yearly!$D:$AM, 10, FALSE), 1)</f>
        <v>3.5708516405634281E-3</v>
      </c>
      <c r="E2" s="7">
        <f>$B2 * IFERROR(VLOOKUP("electricity|PM25|Premature mortality", US_national_yearly!$D:$AM, 13, FALSE) / VLOOKUP("electricity|PM25|Premature mortality", US_national_yearly!$D:$AM, 10, FALSE), 1)</f>
        <v>3.6140118721317317E-3</v>
      </c>
      <c r="F2" s="7">
        <f>$B2 * IFERROR(VLOOKUP("electricity|PM25|Premature mortality", US_national_yearly!$D:$AM, 14, FALSE) / VLOOKUP("electricity|PM25|Premature mortality", US_national_yearly!$D:$AM, 10, FALSE), 1)</f>
        <v>3.6571721037000366E-3</v>
      </c>
      <c r="G2" s="7">
        <f>$B2 * IFERROR(VLOOKUP("electricity|PM25|Premature mortality", US_national_yearly!$D:$AM, 15, FALSE) / VLOOKUP("electricity|PM25|Premature mortality", US_national_yearly!$D:$AM, 10, FALSE), 1)</f>
        <v>3.7419410938335958E-3</v>
      </c>
      <c r="H2" s="7">
        <f>$B2 * IFERROR(VLOOKUP("electricity|PM25|Premature mortality", US_national_yearly!$D:$AM, 16, FALSE) / VLOOKUP("electricity|PM25|Premature mortality", US_national_yearly!$D:$AM, 10, FALSE), 1)</f>
        <v>3.8267100839671554E-3</v>
      </c>
      <c r="I2" s="7">
        <f>$B2 * IFERROR(VLOOKUP("electricity|PM25|Premature mortality", US_national_yearly!$D:$AM, 17, FALSE) / VLOOKUP("electricity|PM25|Premature mortality", US_national_yearly!$D:$AM, 10, FALSE), 1)</f>
        <v>3.8836670884972949E-3</v>
      </c>
      <c r="J2" s="7">
        <f>$B2 * IFERROR(VLOOKUP("electricity|PM25|Premature mortality", US_national_yearly!$D:$AM, 18, FALSE) / VLOOKUP("electricity|PM25|Premature mortality", US_national_yearly!$D:$AM, 10, FALSE), 1)</f>
        <v>3.9406240930274358E-3</v>
      </c>
      <c r="K2" s="7">
        <f>$B2 * IFERROR(VLOOKUP("electricity|PM25|Premature mortality", US_national_yearly!$D:$AM, 19, FALSE) / VLOOKUP("electricity|PM25|Premature mortality", US_national_yearly!$D:$AM, 10, FALSE), 1)</f>
        <v>3.9975810975575749E-3</v>
      </c>
      <c r="L2" s="7">
        <f>$B2 * IFERROR(VLOOKUP("electricity|PM25|Premature mortality", US_national_yearly!$D:$AM, 20, FALSE) / VLOOKUP("electricity|PM25|Premature mortality", US_national_yearly!$D:$AM, 10, FALSE), 1)</f>
        <v>4.0545381020877158E-3</v>
      </c>
      <c r="M2" s="7">
        <f>$B2 * IFERROR(VLOOKUP("electricity|PM25|Premature mortality", US_national_yearly!$D:$AM, 21, FALSE) / VLOOKUP("electricity|PM25|Premature mortality", US_national_yearly!$D:$AM, 10, FALSE), 1)</f>
        <v>4.1114951066178549E-3</v>
      </c>
      <c r="N2" s="7">
        <f>$B2 * IFERROR(VLOOKUP("electricity|PM25|Premature mortality", US_national_yearly!$D:$AM, 22, FALSE) / VLOOKUP("electricity|PM25|Premature mortality", US_national_yearly!$D:$AM, 10, FALSE), 1)</f>
        <v>4.1568962877011175E-3</v>
      </c>
      <c r="O2" s="7">
        <f>$B2 * IFERROR(VLOOKUP("electricity|PM25|Premature mortality", US_national_yearly!$D:$AM, 23, FALSE) / VLOOKUP("electricity|PM25|Premature mortality", US_national_yearly!$D:$AM, 10, FALSE), 1)</f>
        <v>4.2022974687843783E-3</v>
      </c>
      <c r="P2" s="7">
        <f>$B2 * IFERROR(VLOOKUP("electricity|PM25|Premature mortality", US_national_yearly!$D:$AM, 24, FALSE) / VLOOKUP("electricity|PM25|Premature mortality", US_national_yearly!$D:$AM, 10, FALSE), 1)</f>
        <v>4.2476986498676409E-3</v>
      </c>
      <c r="Q2" s="7">
        <f>$B2 * IFERROR(VLOOKUP("electricity|PM25|Premature mortality", US_national_yearly!$D:$AM, 25, FALSE) / VLOOKUP("electricity|PM25|Premature mortality", US_national_yearly!$D:$AM, 10, FALSE), 1)</f>
        <v>4.2930998309509017E-3</v>
      </c>
      <c r="R2" s="7">
        <f>$B2 * IFERROR(VLOOKUP("electricity|PM25|Premature mortality", US_national_yearly!$D:$AM, 26, FALSE) / VLOOKUP("electricity|PM25|Premature mortality", US_national_yearly!$D:$AM, 10, FALSE), 1)</f>
        <v>4.3385010120341643E-3</v>
      </c>
      <c r="S2" s="7">
        <f>$B2 * IFERROR(VLOOKUP("electricity|PM25|Premature mortality", US_national_yearly!$D:$AM, 27, FALSE) / VLOOKUP("electricity|PM25|Premature mortality", US_national_yearly!$D:$AM, 10, FALSE), 1)</f>
        <v>4.3644798111889026E-3</v>
      </c>
      <c r="T2" s="7">
        <f>$B2 * IFERROR(VLOOKUP("electricity|PM25|Premature mortality", US_national_yearly!$D:$AM, 28, FALSE) / VLOOKUP("electricity|PM25|Premature mortality", US_national_yearly!$D:$AM, 10, FALSE), 1)</f>
        <v>4.3904586103436409E-3</v>
      </c>
      <c r="U2" s="7">
        <f>$B2 * IFERROR(VLOOKUP("electricity|PM25|Premature mortality", US_national_yearly!$D:$AM, 29, FALSE) / VLOOKUP("electricity|PM25|Premature mortality", US_national_yearly!$D:$AM, 10, FALSE), 1)</f>
        <v>4.416437409498381E-3</v>
      </c>
      <c r="V2" s="7">
        <f>$B2 * IFERROR(VLOOKUP("electricity|PM25|Premature mortality", US_national_yearly!$D:$AM, 30, FALSE) / VLOOKUP("electricity|PM25|Premature mortality", US_national_yearly!$D:$AM, 10, FALSE), 1)</f>
        <v>4.4424162086531185E-3</v>
      </c>
      <c r="W2" s="7">
        <f>$B2 * IFERROR(VLOOKUP("electricity|PM25|Premature mortality", US_national_yearly!$D:$AM, 31, FALSE) / VLOOKUP("electricity|PM25|Premature mortality", US_national_yearly!$D:$AM, 10, FALSE), 1)</f>
        <v>4.4683950078078577E-3</v>
      </c>
      <c r="X2" s="7">
        <f>$B2 * IFERROR(VLOOKUP("electricity|PM25|Premature mortality", US_national_yearly!$D:$AM, 32, FALSE) / VLOOKUP("electricity|PM25|Premature mortality", US_national_yearly!$D:$AM, 10, FALSE), 1)</f>
        <v>4.4756117502447092E-3</v>
      </c>
      <c r="Y2" s="7">
        <f>$B2 * IFERROR(VLOOKUP("electricity|PM25|Premature mortality", US_national_yearly!$D:$AM, 33, FALSE) / VLOOKUP("electricity|PM25|Premature mortality", US_national_yearly!$D:$AM, 10, FALSE), 1)</f>
        <v>4.4828284926815599E-3</v>
      </c>
      <c r="Z2" s="7">
        <f>$B2 * IFERROR(VLOOKUP("electricity|PM25|Premature mortality", US_national_yearly!$D:$AM, 34, FALSE) / VLOOKUP("electricity|PM25|Premature mortality", US_national_yearly!$D:$AM, 10, FALSE), 1)</f>
        <v>4.4900452351184115E-3</v>
      </c>
      <c r="AA2" s="7">
        <f>$B2 * IFERROR(VLOOKUP("electricity|PM25|Premature mortality", US_national_yearly!$D:$AM, 35, FALSE) / VLOOKUP("electricity|PM25|Premature mortality", US_national_yearly!$D:$AM, 10, FALSE), 1)</f>
        <v>4.497261977555264E-3</v>
      </c>
      <c r="AB2" s="7">
        <f>$B2 * IFERROR(VLOOKUP("electricity|PM25|Premature mortality", US_national_yearly!$D:$AM, 36, FALSE) / VLOOKUP("electricity|PM25|Premature mortality", US_national_yearly!$D:$AM, 10, FALSE), 1)</f>
        <v>4.5044787199921147E-3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3.9414480225815881E-6</v>
      </c>
      <c r="C3" s="7">
        <f>$B3 * IFERROR(VLOOKUP("electricity|PM25|Infant mortality", US_national_yearly!$D:$AM, 11, FALSE) / VLOOKUP("electricity|PM25|Infant mortality", US_national_yearly!$D:$AM, 10, FALSE), 1)</f>
        <v>3.9071061958889128E-6</v>
      </c>
      <c r="D3" s="7">
        <f>$B3 * IFERROR(VLOOKUP("electricity|PM25|Infant mortality", US_national_yearly!$D:$AM, 12, FALSE) / VLOOKUP("electricity|PM25|Infant mortality", US_national_yearly!$D:$AM, 10, FALSE), 1)</f>
        <v>3.8727643691962391E-6</v>
      </c>
      <c r="E3" s="7">
        <f>$B3 * IFERROR(VLOOKUP("electricity|PM25|Infant mortality", US_national_yearly!$D:$AM, 13, FALSE) / VLOOKUP("electricity|PM25|Infant mortality", US_national_yearly!$D:$AM, 10, FALSE), 1)</f>
        <v>3.8384225425035638E-6</v>
      </c>
      <c r="F3" s="7">
        <f>$B3 * IFERROR(VLOOKUP("electricity|PM25|Infant mortality", US_national_yearly!$D:$AM, 14, FALSE) / VLOOKUP("electricity|PM25|Infant mortality", US_national_yearly!$D:$AM, 10, FALSE), 1)</f>
        <v>3.8040807158108894E-6</v>
      </c>
      <c r="G3" s="7">
        <f>$B3 * IFERROR(VLOOKUP("electricity|PM25|Infant mortality", US_national_yearly!$D:$AM, 15, FALSE) / VLOOKUP("electricity|PM25|Infant mortality", US_national_yearly!$D:$AM, 10, FALSE), 1)</f>
        <v>2.5227477635567299E-6</v>
      </c>
      <c r="H3" s="7">
        <f>$B3 * IFERROR(VLOOKUP("electricity|PM25|Infant mortality", US_national_yearly!$D:$AM, 16, FALSE) / VLOOKUP("electricity|PM25|Infant mortality", US_national_yearly!$D:$AM, 10, FALSE), 1)</f>
        <v>1.2414148113025703E-6</v>
      </c>
      <c r="I3" s="7">
        <f>$B3 * IFERROR(VLOOKUP("electricity|PM25|Infant mortality", US_national_yearly!$D:$AM, 17, FALSE) / VLOOKUP("electricity|PM25|Infant mortality", US_national_yearly!$D:$AM, 10, FALSE), 1)</f>
        <v>1.2326498538882963E-6</v>
      </c>
      <c r="J3" s="7">
        <f>$B3 * IFERROR(VLOOKUP("electricity|PM25|Infant mortality", US_national_yearly!$D:$AM, 18, FALSE) / VLOOKUP("electricity|PM25|Infant mortality", US_national_yearly!$D:$AM, 10, FALSE), 1)</f>
        <v>1.223884896474023E-6</v>
      </c>
      <c r="K3" s="7">
        <f>$B3 * IFERROR(VLOOKUP("electricity|PM25|Infant mortality", US_national_yearly!$D:$AM, 19, FALSE) / VLOOKUP("electricity|PM25|Infant mortality", US_national_yearly!$D:$AM, 10, FALSE), 1)</f>
        <v>1.2151199390597491E-6</v>
      </c>
      <c r="L3" s="7">
        <f>$B3 * IFERROR(VLOOKUP("electricity|PM25|Infant mortality", US_national_yearly!$D:$AM, 20, FALSE) / VLOOKUP("electricity|PM25|Infant mortality", US_national_yearly!$D:$AM, 10, FALSE), 1)</f>
        <v>1.2063549816454756E-6</v>
      </c>
      <c r="M3" s="7">
        <f>$B3 * IFERROR(VLOOKUP("electricity|PM25|Infant mortality", US_national_yearly!$D:$AM, 21, FALSE) / VLOOKUP("electricity|PM25|Infant mortality", US_national_yearly!$D:$AM, 10, FALSE), 1)</f>
        <v>1.1975900242312019E-6</v>
      </c>
      <c r="N3" s="7">
        <f>$B3 * IFERROR(VLOOKUP("electricity|PM25|Infant mortality", US_national_yearly!$D:$AM, 22, FALSE) / VLOOKUP("electricity|PM25|Infant mortality", US_national_yearly!$D:$AM, 10, FALSE), 1)</f>
        <v>1.1919529929106402E-6</v>
      </c>
      <c r="O3" s="7">
        <f>$B3 * IFERROR(VLOOKUP("electricity|PM25|Infant mortality", US_national_yearly!$D:$AM, 23, FALSE) / VLOOKUP("electricity|PM25|Infant mortality", US_national_yearly!$D:$AM, 10, FALSE), 1)</f>
        <v>1.1863159615900783E-6</v>
      </c>
      <c r="P3" s="7">
        <f>$B3 * IFERROR(VLOOKUP("electricity|PM25|Infant mortality", US_national_yearly!$D:$AM, 24, FALSE) / VLOOKUP("electricity|PM25|Infant mortality", US_national_yearly!$D:$AM, 10, FALSE), 1)</f>
        <v>1.1806789302695163E-6</v>
      </c>
      <c r="Q3" s="7">
        <f>$B3 * IFERROR(VLOOKUP("electricity|PM25|Infant mortality", US_national_yearly!$D:$AM, 25, FALSE) / VLOOKUP("electricity|PM25|Infant mortality", US_national_yearly!$D:$AM, 10, FALSE), 1)</f>
        <v>1.1750418989489544E-6</v>
      </c>
      <c r="R3" s="7">
        <f>$B3 * IFERROR(VLOOKUP("electricity|PM25|Infant mortality", US_national_yearly!$D:$AM, 26, FALSE) / VLOOKUP("electricity|PM25|Infant mortality", US_national_yearly!$D:$AM, 10, FALSE), 1)</f>
        <v>1.1694048676283925E-6</v>
      </c>
      <c r="S3" s="7">
        <f>$B3 * IFERROR(VLOOKUP("electricity|PM25|Infant mortality", US_national_yearly!$D:$AM, 27, FALSE) / VLOOKUP("electricity|PM25|Infant mortality", US_national_yearly!$D:$AM, 10, FALSE), 1)</f>
        <v>1.1626515781383423E-6</v>
      </c>
      <c r="T3" s="7">
        <f>$B3 * IFERROR(VLOOKUP("electricity|PM25|Infant mortality", US_national_yearly!$D:$AM, 28, FALSE) / VLOOKUP("electricity|PM25|Infant mortality", US_national_yearly!$D:$AM, 10, FALSE), 1)</f>
        <v>1.1558982886482921E-6</v>
      </c>
      <c r="U3" s="7">
        <f>$B3 * IFERROR(VLOOKUP("electricity|PM25|Infant mortality", US_national_yearly!$D:$AM, 29, FALSE) / VLOOKUP("electricity|PM25|Infant mortality", US_national_yearly!$D:$AM, 10, FALSE), 1)</f>
        <v>1.1491449991582423E-6</v>
      </c>
      <c r="V3" s="7">
        <f>$B3 * IFERROR(VLOOKUP("electricity|PM25|Infant mortality", US_national_yearly!$D:$AM, 30, FALSE) / VLOOKUP("electricity|PM25|Infant mortality", US_national_yearly!$D:$AM, 10, FALSE), 1)</f>
        <v>1.1423917096681921E-6</v>
      </c>
      <c r="W3" s="7">
        <f>$B3 * IFERROR(VLOOKUP("electricity|PM25|Infant mortality", US_national_yearly!$D:$AM, 31, FALSE) / VLOOKUP("electricity|PM25|Infant mortality", US_national_yearly!$D:$AM, 10, FALSE), 1)</f>
        <v>1.135638420178142E-6</v>
      </c>
      <c r="X3" s="7">
        <f>$B3 * IFERROR(VLOOKUP("electricity|PM25|Infant mortality", US_national_yearly!$D:$AM, 32, FALSE) / VLOOKUP("electricity|PM25|Infant mortality", US_national_yearly!$D:$AM, 10, FALSE), 1)</f>
        <v>1.1286597386769089E-6</v>
      </c>
      <c r="Y3" s="7">
        <f>$B3 * IFERROR(VLOOKUP("electricity|PM25|Infant mortality", US_national_yearly!$D:$AM, 33, FALSE) / VLOOKUP("electricity|PM25|Infant mortality", US_national_yearly!$D:$AM, 10, FALSE), 1)</f>
        <v>1.1216810571756757E-6</v>
      </c>
      <c r="Z3" s="7">
        <f>$B3 * IFERROR(VLOOKUP("electricity|PM25|Infant mortality", US_national_yearly!$D:$AM, 34, FALSE) / VLOOKUP("electricity|PM25|Infant mortality", US_national_yearly!$D:$AM, 10, FALSE), 1)</f>
        <v>1.1147023756744425E-6</v>
      </c>
      <c r="AA3" s="7">
        <f>$B3 * IFERROR(VLOOKUP("electricity|PM25|Infant mortality", US_national_yearly!$D:$AM, 35, FALSE) / VLOOKUP("electricity|PM25|Infant mortality", US_national_yearly!$D:$AM, 10, FALSE), 1)</f>
        <v>1.1077236941732093E-6</v>
      </c>
      <c r="AB3" s="7">
        <f>$B3 * IFERROR(VLOOKUP("electricity|PM25|Infant mortality", US_national_yearly!$D:$AM, 36, FALSE) / VLOOKUP("electricity|PM25|Infant mortality", US_national_yearly!$D:$AM, 10, FALSE), 1)</f>
        <v>1.1007450126719761E-6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6.5648774787125759E-3</v>
      </c>
      <c r="C6" s="7">
        <f>$B6 * IFERROR(VLOOKUP("electricity|PM25|Asthma symptoms cough", US_national_yearly!$D:$AM, 11, FALSE) / VLOOKUP("electricity|PM25|Asthma symptoms cough", US_national_yearly!$D:$AM, 10, FALSE), 1)</f>
        <v>6.5648774787125759E-3</v>
      </c>
      <c r="D6" s="7">
        <f>$B6 * IFERROR(VLOOKUP("electricity|PM25|Asthma symptoms cough", US_national_yearly!$D:$AM, 12, FALSE) / VLOOKUP("electricity|PM25|Asthma symptoms cough", US_national_yearly!$D:$AM, 10, FALSE), 1)</f>
        <v>6.5648774787125759E-3</v>
      </c>
      <c r="E6" s="7">
        <f>$B6 * IFERROR(VLOOKUP("electricity|PM25|Asthma symptoms cough", US_national_yearly!$D:$AM, 13, FALSE) / VLOOKUP("electricity|PM25|Asthma symptoms cough", US_national_yearly!$D:$AM, 10, FALSE), 1)</f>
        <v>6.5648774787125759E-3</v>
      </c>
      <c r="F6" s="7">
        <f>$B6 * IFERROR(VLOOKUP("electricity|PM25|Asthma symptoms cough", US_national_yearly!$D:$AM, 14, FALSE) / VLOOKUP("electricity|PM25|Asthma symptoms cough", US_national_yearly!$D:$AM, 10, FALSE), 1)</f>
        <v>6.5648774787125759E-3</v>
      </c>
      <c r="G6" s="7">
        <f>$B6 * IFERROR(VLOOKUP("electricity|PM25|Asthma symptoms cough", US_national_yearly!$D:$AM, 15, FALSE) / VLOOKUP("electricity|PM25|Asthma symptoms cough", US_national_yearly!$D:$AM, 10, FALSE), 1)</f>
        <v>6.5648774787125759E-3</v>
      </c>
      <c r="H6" s="7">
        <f>$B6 * IFERROR(VLOOKUP("electricity|PM25|Asthma symptoms cough", US_national_yearly!$D:$AM, 16, FALSE) / VLOOKUP("electricity|PM25|Asthma symptoms cough", US_national_yearly!$D:$AM, 10, FALSE), 1)</f>
        <v>6.5648774787125759E-3</v>
      </c>
      <c r="I6" s="7">
        <f>$B6 * IFERROR(VLOOKUP("electricity|PM25|Asthma symptoms cough", US_national_yearly!$D:$AM, 17, FALSE) / VLOOKUP("electricity|PM25|Asthma symptoms cough", US_national_yearly!$D:$AM, 10, FALSE), 1)</f>
        <v>6.5648774787125759E-3</v>
      </c>
      <c r="J6" s="7">
        <f>$B6 * IFERROR(VLOOKUP("electricity|PM25|Asthma symptoms cough", US_national_yearly!$D:$AM, 18, FALSE) / VLOOKUP("electricity|PM25|Asthma symptoms cough", US_national_yearly!$D:$AM, 10, FALSE), 1)</f>
        <v>6.5648774787125759E-3</v>
      </c>
      <c r="K6" s="7">
        <f>$B6 * IFERROR(VLOOKUP("electricity|PM25|Asthma symptoms cough", US_national_yearly!$D:$AM, 19, FALSE) / VLOOKUP("electricity|PM25|Asthma symptoms cough", US_national_yearly!$D:$AM, 10, FALSE), 1)</f>
        <v>6.5648774787125759E-3</v>
      </c>
      <c r="L6" s="7">
        <f>$B6 * IFERROR(VLOOKUP("electricity|PM25|Asthma symptoms cough", US_national_yearly!$D:$AM, 20, FALSE) / VLOOKUP("electricity|PM25|Asthma symptoms cough", US_national_yearly!$D:$AM, 10, FALSE), 1)</f>
        <v>6.5648774787125759E-3</v>
      </c>
      <c r="M6" s="7">
        <f>$B6 * IFERROR(VLOOKUP("electricity|PM25|Asthma symptoms cough", US_national_yearly!$D:$AM, 21, FALSE) / VLOOKUP("electricity|PM25|Asthma symptoms cough", US_national_yearly!$D:$AM, 10, FALSE), 1)</f>
        <v>6.5648774787125759E-3</v>
      </c>
      <c r="N6" s="7">
        <f>$B6 * IFERROR(VLOOKUP("electricity|PM25|Asthma symptoms cough", US_national_yearly!$D:$AM, 22, FALSE) / VLOOKUP("electricity|PM25|Asthma symptoms cough", US_national_yearly!$D:$AM, 10, FALSE), 1)</f>
        <v>6.5648774787125759E-3</v>
      </c>
      <c r="O6" s="7">
        <f>$B6 * IFERROR(VLOOKUP("electricity|PM25|Asthma symptoms cough", US_national_yearly!$D:$AM, 23, FALSE) / VLOOKUP("electricity|PM25|Asthma symptoms cough", US_national_yearly!$D:$AM, 10, FALSE), 1)</f>
        <v>6.5648774787125759E-3</v>
      </c>
      <c r="P6" s="7">
        <f>$B6 * IFERROR(VLOOKUP("electricity|PM25|Asthma symptoms cough", US_national_yearly!$D:$AM, 24, FALSE) / VLOOKUP("electricity|PM25|Asthma symptoms cough", US_national_yearly!$D:$AM, 10, FALSE), 1)</f>
        <v>6.5648774787125759E-3</v>
      </c>
      <c r="Q6" s="7">
        <f>$B6 * IFERROR(VLOOKUP("electricity|PM25|Asthma symptoms cough", US_national_yearly!$D:$AM, 25, FALSE) / VLOOKUP("electricity|PM25|Asthma symptoms cough", US_national_yearly!$D:$AM, 10, FALSE), 1)</f>
        <v>6.5648774787125759E-3</v>
      </c>
      <c r="R6" s="7">
        <f>$B6 * IFERROR(VLOOKUP("electricity|PM25|Asthma symptoms cough", US_national_yearly!$D:$AM, 26, FALSE) / VLOOKUP("electricity|PM25|Asthma symptoms cough", US_national_yearly!$D:$AM, 10, FALSE), 1)</f>
        <v>6.5648774787125759E-3</v>
      </c>
      <c r="S6" s="7">
        <f>$B6 * IFERROR(VLOOKUP("electricity|PM25|Asthma symptoms cough", US_national_yearly!$D:$AM, 27, FALSE) / VLOOKUP("electricity|PM25|Asthma symptoms cough", US_national_yearly!$D:$AM, 10, FALSE), 1)</f>
        <v>6.5648774787125759E-3</v>
      </c>
      <c r="T6" s="7">
        <f>$B6 * IFERROR(VLOOKUP("electricity|PM25|Asthma symptoms cough", US_national_yearly!$D:$AM, 28, FALSE) / VLOOKUP("electricity|PM25|Asthma symptoms cough", US_national_yearly!$D:$AM, 10, FALSE), 1)</f>
        <v>6.5648774787125759E-3</v>
      </c>
      <c r="U6" s="7">
        <f>$B6 * IFERROR(VLOOKUP("electricity|PM25|Asthma symptoms cough", US_national_yearly!$D:$AM, 29, FALSE) / VLOOKUP("electricity|PM25|Asthma symptoms cough", US_national_yearly!$D:$AM, 10, FALSE), 1)</f>
        <v>6.5648774787125759E-3</v>
      </c>
      <c r="V6" s="7">
        <f>$B6 * IFERROR(VLOOKUP("electricity|PM25|Asthma symptoms cough", US_national_yearly!$D:$AM, 30, FALSE) / VLOOKUP("electricity|PM25|Asthma symptoms cough", US_national_yearly!$D:$AM, 10, FALSE), 1)</f>
        <v>6.5648774787125759E-3</v>
      </c>
      <c r="W6" s="7">
        <f>$B6 * IFERROR(VLOOKUP("electricity|PM25|Asthma symptoms cough", US_national_yearly!$D:$AM, 31, FALSE) / VLOOKUP("electricity|PM25|Asthma symptoms cough", US_national_yearly!$D:$AM, 10, FALSE), 1)</f>
        <v>6.5648774787125759E-3</v>
      </c>
      <c r="X6" s="7">
        <f>$B6 * IFERROR(VLOOKUP("electricity|PM25|Asthma symptoms cough", US_national_yearly!$D:$AM, 32, FALSE) / VLOOKUP("electricity|PM25|Asthma symptoms cough", US_national_yearly!$D:$AM, 10, FALSE), 1)</f>
        <v>6.5648774787125759E-3</v>
      </c>
      <c r="Y6" s="7">
        <f>$B6 * IFERROR(VLOOKUP("electricity|PM25|Asthma symptoms cough", US_national_yearly!$D:$AM, 33, FALSE) / VLOOKUP("electricity|PM25|Asthma symptoms cough", US_national_yearly!$D:$AM, 10, FALSE), 1)</f>
        <v>6.5648774787125759E-3</v>
      </c>
      <c r="Z6" s="7">
        <f>$B6 * IFERROR(VLOOKUP("electricity|PM25|Asthma symptoms cough", US_national_yearly!$D:$AM, 34, FALSE) / VLOOKUP("electricity|PM25|Asthma symptoms cough", US_national_yearly!$D:$AM, 10, FALSE), 1)</f>
        <v>6.5648774787125759E-3</v>
      </c>
      <c r="AA6" s="7">
        <f>$B6 * IFERROR(VLOOKUP("electricity|PM25|Asthma symptoms cough", US_national_yearly!$D:$AM, 35, FALSE) / VLOOKUP("electricity|PM25|Asthma symptoms cough", US_national_yearly!$D:$AM, 10, FALSE), 1)</f>
        <v>6.5648774787125759E-3</v>
      </c>
      <c r="AB6" s="7">
        <f>$B6 * IFERROR(VLOOKUP("electricity|PM25|Asthma symptoms cough", US_national_yearly!$D:$AM, 36, FALSE) / VLOOKUP("electricity|PM25|Asthma symptoms cough", US_national_yearly!$D:$AM, 10, FALSE), 1)</f>
        <v>6.5648774787125759E-3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8.8405702812128662E-3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8.8405702812128662E-3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8.8405702812128662E-3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8.8405702812128662E-3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8.8405702812128662E-3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8.8405702812128662E-3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8.8405702812128662E-3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8.8405702812128662E-3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8.8405702812128662E-3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8.8405702812128662E-3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8.8405702812128662E-3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8.8405702812128662E-3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8.8405702812128662E-3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8.8405702812128662E-3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8.8405702812128662E-3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8.8405702812128662E-3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8.8405702812128662E-3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8.8405702812128662E-3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8.8405702812128662E-3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8.8405702812128662E-3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8.8405702812128662E-3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8.8405702812128662E-3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8.8405702812128662E-3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8.8405702812128662E-3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8.8405702812128662E-3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8.8405702812128662E-3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8.8405702812128662E-3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1.3506853328960209E-2</v>
      </c>
      <c r="C8" s="7">
        <f>$B8 * IFERROR(VLOOKUP("electricity|PM25|Asthma symptoms wheeze", US_national_yearly!$D:$AM, 11, FALSE) / VLOOKUP("electricity|PM25|Asthma symptoms wheeze", US_national_yearly!$D:$AM, 10, FALSE), 1)</f>
        <v>1.3506853328960209E-2</v>
      </c>
      <c r="D8" s="7">
        <f>$B8 * IFERROR(VLOOKUP("electricity|PM25|Asthma symptoms wheeze", US_national_yearly!$D:$AM, 12, FALSE) / VLOOKUP("electricity|PM25|Asthma symptoms wheeze", US_national_yearly!$D:$AM, 10, FALSE), 1)</f>
        <v>1.3506853328960209E-2</v>
      </c>
      <c r="E8" s="7">
        <f>$B8 * IFERROR(VLOOKUP("electricity|PM25|Asthma symptoms wheeze", US_national_yearly!$D:$AM, 13, FALSE) / VLOOKUP("electricity|PM25|Asthma symptoms wheeze", US_national_yearly!$D:$AM, 10, FALSE), 1)</f>
        <v>1.3506853328960209E-2</v>
      </c>
      <c r="F8" s="7">
        <f>$B8 * IFERROR(VLOOKUP("electricity|PM25|Asthma symptoms wheeze", US_national_yearly!$D:$AM, 14, FALSE) / VLOOKUP("electricity|PM25|Asthma symptoms wheeze", US_national_yearly!$D:$AM, 10, FALSE), 1)</f>
        <v>1.3506853328960209E-2</v>
      </c>
      <c r="G8" s="7">
        <f>$B8 * IFERROR(VLOOKUP("electricity|PM25|Asthma symptoms wheeze", US_national_yearly!$D:$AM, 15, FALSE) / VLOOKUP("electricity|PM25|Asthma symptoms wheeze", US_national_yearly!$D:$AM, 10, FALSE), 1)</f>
        <v>1.3506853328960209E-2</v>
      </c>
      <c r="H8" s="7">
        <f>$B8 * IFERROR(VLOOKUP("electricity|PM25|Asthma symptoms wheeze", US_national_yearly!$D:$AM, 16, FALSE) / VLOOKUP("electricity|PM25|Asthma symptoms wheeze", US_national_yearly!$D:$AM, 10, FALSE), 1)</f>
        <v>1.3506853328960209E-2</v>
      </c>
      <c r="I8" s="7">
        <f>$B8 * IFERROR(VLOOKUP("electricity|PM25|Asthma symptoms wheeze", US_national_yearly!$D:$AM, 17, FALSE) / VLOOKUP("electricity|PM25|Asthma symptoms wheeze", US_national_yearly!$D:$AM, 10, FALSE), 1)</f>
        <v>1.3506853328960209E-2</v>
      </c>
      <c r="J8" s="7">
        <f>$B8 * IFERROR(VLOOKUP("electricity|PM25|Asthma symptoms wheeze", US_national_yearly!$D:$AM, 18, FALSE) / VLOOKUP("electricity|PM25|Asthma symptoms wheeze", US_national_yearly!$D:$AM, 10, FALSE), 1)</f>
        <v>1.3506853328960209E-2</v>
      </c>
      <c r="K8" s="7">
        <f>$B8 * IFERROR(VLOOKUP("electricity|PM25|Asthma symptoms wheeze", US_national_yearly!$D:$AM, 19, FALSE) / VLOOKUP("electricity|PM25|Asthma symptoms wheeze", US_national_yearly!$D:$AM, 10, FALSE), 1)</f>
        <v>1.3506853328960209E-2</v>
      </c>
      <c r="L8" s="7">
        <f>$B8 * IFERROR(VLOOKUP("electricity|PM25|Asthma symptoms wheeze", US_national_yearly!$D:$AM, 20, FALSE) / VLOOKUP("electricity|PM25|Asthma symptoms wheeze", US_national_yearly!$D:$AM, 10, FALSE), 1)</f>
        <v>1.3506853328960209E-2</v>
      </c>
      <c r="M8" s="7">
        <f>$B8 * IFERROR(VLOOKUP("electricity|PM25|Asthma symptoms wheeze", US_national_yearly!$D:$AM, 21, FALSE) / VLOOKUP("electricity|PM25|Asthma symptoms wheeze", US_national_yearly!$D:$AM, 10, FALSE), 1)</f>
        <v>1.3506853328960209E-2</v>
      </c>
      <c r="N8" s="7">
        <f>$B8 * IFERROR(VLOOKUP("electricity|PM25|Asthma symptoms wheeze", US_national_yearly!$D:$AM, 22, FALSE) / VLOOKUP("electricity|PM25|Asthma symptoms wheeze", US_national_yearly!$D:$AM, 10, FALSE), 1)</f>
        <v>1.3506853328960209E-2</v>
      </c>
      <c r="O8" s="7">
        <f>$B8 * IFERROR(VLOOKUP("electricity|PM25|Asthma symptoms wheeze", US_national_yearly!$D:$AM, 23, FALSE) / VLOOKUP("electricity|PM25|Asthma symptoms wheeze", US_national_yearly!$D:$AM, 10, FALSE), 1)</f>
        <v>1.3506853328960209E-2</v>
      </c>
      <c r="P8" s="7">
        <f>$B8 * IFERROR(VLOOKUP("electricity|PM25|Asthma symptoms wheeze", US_national_yearly!$D:$AM, 24, FALSE) / VLOOKUP("electricity|PM25|Asthma symptoms wheeze", US_national_yearly!$D:$AM, 10, FALSE), 1)</f>
        <v>1.3506853328960209E-2</v>
      </c>
      <c r="Q8" s="7">
        <f>$B8 * IFERROR(VLOOKUP("electricity|PM25|Asthma symptoms wheeze", US_national_yearly!$D:$AM, 25, FALSE) / VLOOKUP("electricity|PM25|Asthma symptoms wheeze", US_national_yearly!$D:$AM, 10, FALSE), 1)</f>
        <v>1.3506853328960209E-2</v>
      </c>
      <c r="R8" s="7">
        <f>$B8 * IFERROR(VLOOKUP("electricity|PM25|Asthma symptoms wheeze", US_national_yearly!$D:$AM, 26, FALSE) / VLOOKUP("electricity|PM25|Asthma symptoms wheeze", US_national_yearly!$D:$AM, 10, FALSE), 1)</f>
        <v>1.3506853328960209E-2</v>
      </c>
      <c r="S8" s="7">
        <f>$B8 * IFERROR(VLOOKUP("electricity|PM25|Asthma symptoms wheeze", US_national_yearly!$D:$AM, 27, FALSE) / VLOOKUP("electricity|PM25|Asthma symptoms wheeze", US_national_yearly!$D:$AM, 10, FALSE), 1)</f>
        <v>1.3506853328960209E-2</v>
      </c>
      <c r="T8" s="7">
        <f>$B8 * IFERROR(VLOOKUP("electricity|PM25|Asthma symptoms wheeze", US_national_yearly!$D:$AM, 28, FALSE) / VLOOKUP("electricity|PM25|Asthma symptoms wheeze", US_national_yearly!$D:$AM, 10, FALSE), 1)</f>
        <v>1.3506853328960209E-2</v>
      </c>
      <c r="U8" s="7">
        <f>$B8 * IFERROR(VLOOKUP("electricity|PM25|Asthma symptoms wheeze", US_national_yearly!$D:$AM, 29, FALSE) / VLOOKUP("electricity|PM25|Asthma symptoms wheeze", US_national_yearly!$D:$AM, 10, FALSE), 1)</f>
        <v>1.3506853328960209E-2</v>
      </c>
      <c r="V8" s="7">
        <f>$B8 * IFERROR(VLOOKUP("electricity|PM25|Asthma symptoms wheeze", US_national_yearly!$D:$AM, 30, FALSE) / VLOOKUP("electricity|PM25|Asthma symptoms wheeze", US_national_yearly!$D:$AM, 10, FALSE), 1)</f>
        <v>1.3506853328960209E-2</v>
      </c>
      <c r="W8" s="7">
        <f>$B8 * IFERROR(VLOOKUP("electricity|PM25|Asthma symptoms wheeze", US_national_yearly!$D:$AM, 31, FALSE) / VLOOKUP("electricity|PM25|Asthma symptoms wheeze", US_national_yearly!$D:$AM, 10, FALSE), 1)</f>
        <v>1.3506853328960209E-2</v>
      </c>
      <c r="X8" s="7">
        <f>$B8 * IFERROR(VLOOKUP("electricity|PM25|Asthma symptoms wheeze", US_national_yearly!$D:$AM, 32, FALSE) / VLOOKUP("electricity|PM25|Asthma symptoms wheeze", US_national_yearly!$D:$AM, 10, FALSE), 1)</f>
        <v>1.3506853328960209E-2</v>
      </c>
      <c r="Y8" s="7">
        <f>$B8 * IFERROR(VLOOKUP("electricity|PM25|Asthma symptoms wheeze", US_national_yearly!$D:$AM, 33, FALSE) / VLOOKUP("electricity|PM25|Asthma symptoms wheeze", US_national_yearly!$D:$AM, 10, FALSE), 1)</f>
        <v>1.3506853328960209E-2</v>
      </c>
      <c r="Z8" s="7">
        <f>$B8 * IFERROR(VLOOKUP("electricity|PM25|Asthma symptoms wheeze", US_national_yearly!$D:$AM, 34, FALSE) / VLOOKUP("electricity|PM25|Asthma symptoms wheeze", US_national_yearly!$D:$AM, 10, FALSE), 1)</f>
        <v>1.3506853328960209E-2</v>
      </c>
      <c r="AA8" s="7">
        <f>$B8 * IFERROR(VLOOKUP("electricity|PM25|Asthma symptoms wheeze", US_national_yearly!$D:$AM, 35, FALSE) / VLOOKUP("electricity|PM25|Asthma symptoms wheeze", US_national_yearly!$D:$AM, 10, FALSE), 1)</f>
        <v>1.3506853328960209E-2</v>
      </c>
      <c r="AB8" s="7">
        <f>$B8 * IFERROR(VLOOKUP("electricity|PM25|Asthma symptoms wheeze", US_national_yearly!$D:$AM, 36, FALSE) / VLOOKUP("electricity|PM25|Asthma symptoms wheeze", US_national_yearly!$D:$AM, 10, FALSE), 1)</f>
        <v>1.3506853328960209E-2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2.2488596965874606E-4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2.2612191557002472E-4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2.2735786148130331E-4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2.2859380739258202E-4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2.2982975330386061E-4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2.3115465694031071E-4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2.324795605767608E-4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2.3366322662520331E-4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2.3484689267364576E-4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2.3603055872208824E-4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2.3721422477053072E-4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2.3839789081897322E-4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2.3919631559983579E-4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2.3999474038069842E-4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2.4079316516156105E-4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2.4159158994242362E-4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2.4239001472328624E-4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2.4313403495787171E-4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2.4387805519245708E-4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2.4462207542704249E-4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2.4536609566162793E-4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2.4611011589621332E-4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2.4684581022035238E-4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2.4758150454449134E-4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2.4831719886863035E-4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2.4905289319276935E-4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2.4978858751690836E-4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1.0536740443141161E-3</v>
      </c>
      <c r="C13" s="7">
        <f>$B13 * IFERROR(VLOOKUP("electricity|PM25|Non-fatal heart attacks", US_national_yearly!$D:$AM, 11, FALSE) / VLOOKUP("electricity|PM25|Non-fatal heart attacks", US_national_yearly!$D:$AM, 10, FALSE), 1)</f>
        <v>1.0841935252665985E-3</v>
      </c>
      <c r="D13" s="7">
        <f>$B13 * IFERROR(VLOOKUP("electricity|PM25|Non-fatal heart attacks", US_national_yearly!$D:$AM, 12, FALSE) / VLOOKUP("electricity|PM25|Non-fatal heart attacks", US_national_yearly!$D:$AM, 10, FALSE), 1)</f>
        <v>1.1147130062190808E-3</v>
      </c>
      <c r="E13" s="7">
        <f>$B13 * IFERROR(VLOOKUP("electricity|PM25|Non-fatal heart attacks", US_national_yearly!$D:$AM, 13, FALSE) / VLOOKUP("electricity|PM25|Non-fatal heart attacks", US_national_yearly!$D:$AM, 10, FALSE), 1)</f>
        <v>1.145232487171563E-3</v>
      </c>
      <c r="F13" s="7">
        <f>$B13 * IFERROR(VLOOKUP("electricity|PM25|Non-fatal heart attacks", US_national_yearly!$D:$AM, 14, FALSE) / VLOOKUP("electricity|PM25|Non-fatal heart attacks", US_national_yearly!$D:$AM, 10, FALSE), 1)</f>
        <v>1.1757519681240454E-3</v>
      </c>
      <c r="G13" s="7">
        <f>$B13 * IFERROR(VLOOKUP("electricity|PM25|Non-fatal heart attacks", US_national_yearly!$D:$AM, 15, FALSE) / VLOOKUP("electricity|PM25|Non-fatal heart attacks", US_national_yearly!$D:$AM, 10, FALSE), 1)</f>
        <v>1.2047200521738766E-3</v>
      </c>
      <c r="H13" s="7">
        <f>$B13 * IFERROR(VLOOKUP("electricity|PM25|Non-fatal heart attacks", US_national_yearly!$D:$AM, 16, FALSE) / VLOOKUP("electricity|PM25|Non-fatal heart attacks", US_national_yearly!$D:$AM, 10, FALSE), 1)</f>
        <v>1.2336881362237074E-3</v>
      </c>
      <c r="I13" s="7">
        <f>$B13 * IFERROR(VLOOKUP("electricity|PM25|Non-fatal heart attacks", US_national_yearly!$D:$AM, 17, FALSE) / VLOOKUP("electricity|PM25|Non-fatal heart attacks", US_national_yearly!$D:$AM, 10, FALSE), 1)</f>
        <v>1.2573226729640865E-3</v>
      </c>
      <c r="J13" s="7">
        <f>$B13 * IFERROR(VLOOKUP("electricity|PM25|Non-fatal heart attacks", US_national_yearly!$D:$AM, 18, FALSE) / VLOOKUP("electricity|PM25|Non-fatal heart attacks", US_national_yearly!$D:$AM, 10, FALSE), 1)</f>
        <v>1.2809572097044657E-3</v>
      </c>
      <c r="K13" s="7">
        <f>$B13 * IFERROR(VLOOKUP("electricity|PM25|Non-fatal heart attacks", US_national_yearly!$D:$AM, 19, FALSE) / VLOOKUP("electricity|PM25|Non-fatal heart attacks", US_national_yearly!$D:$AM, 10, FALSE), 1)</f>
        <v>1.3045917464448446E-3</v>
      </c>
      <c r="L13" s="7">
        <f>$B13 * IFERROR(VLOOKUP("electricity|PM25|Non-fatal heart attacks", US_national_yearly!$D:$AM, 20, FALSE) / VLOOKUP("electricity|PM25|Non-fatal heart attacks", US_national_yearly!$D:$AM, 10, FALSE), 1)</f>
        <v>1.3282262831852236E-3</v>
      </c>
      <c r="M13" s="7">
        <f>$B13 * IFERROR(VLOOKUP("electricity|PM25|Non-fatal heart attacks", US_national_yearly!$D:$AM, 21, FALSE) / VLOOKUP("electricity|PM25|Non-fatal heart attacks", US_national_yearly!$D:$AM, 10, FALSE), 1)</f>
        <v>1.351860819925603E-3</v>
      </c>
      <c r="N13" s="7">
        <f>$B13 * IFERROR(VLOOKUP("electricity|PM25|Non-fatal heart attacks", US_national_yearly!$D:$AM, 22, FALSE) / VLOOKUP("electricity|PM25|Non-fatal heart attacks", US_national_yearly!$D:$AM, 10, FALSE), 1)</f>
        <v>1.3671965832207852E-3</v>
      </c>
      <c r="O13" s="7">
        <f>$B13 * IFERROR(VLOOKUP("electricity|PM25|Non-fatal heart attacks", US_national_yearly!$D:$AM, 23, FALSE) / VLOOKUP("electricity|PM25|Non-fatal heart attacks", US_national_yearly!$D:$AM, 10, FALSE), 1)</f>
        <v>1.3825323465159675E-3</v>
      </c>
      <c r="P13" s="7">
        <f>$B13 * IFERROR(VLOOKUP("electricity|PM25|Non-fatal heart attacks", US_national_yearly!$D:$AM, 24, FALSE) / VLOOKUP("electricity|PM25|Non-fatal heart attacks", US_national_yearly!$D:$AM, 10, FALSE), 1)</f>
        <v>1.3978681098111496E-3</v>
      </c>
      <c r="Q13" s="7">
        <f>$B13 * IFERROR(VLOOKUP("electricity|PM25|Non-fatal heart attacks", US_national_yearly!$D:$AM, 25, FALSE) / VLOOKUP("electricity|PM25|Non-fatal heart attacks", US_national_yearly!$D:$AM, 10, FALSE), 1)</f>
        <v>1.4132038731063316E-3</v>
      </c>
      <c r="R13" s="7">
        <f>$B13 * IFERROR(VLOOKUP("electricity|PM25|Non-fatal heart attacks", US_national_yearly!$D:$AM, 26, FALSE) / VLOOKUP("electricity|PM25|Non-fatal heart attacks", US_national_yearly!$D:$AM, 10, FALSE), 1)</f>
        <v>1.4285396364015139E-3</v>
      </c>
      <c r="S13" s="7">
        <f>$B13 * IFERROR(VLOOKUP("electricity|PM25|Non-fatal heart attacks", US_national_yearly!$D:$AM, 27, FALSE) / VLOOKUP("electricity|PM25|Non-fatal heart attacks", US_national_yearly!$D:$AM, 10, FALSE), 1)</f>
        <v>1.4369823680743506E-3</v>
      </c>
      <c r="T13" s="7">
        <f>$B13 * IFERROR(VLOOKUP("electricity|PM25|Non-fatal heart attacks", US_national_yearly!$D:$AM, 28, FALSE) / VLOOKUP("electricity|PM25|Non-fatal heart attacks", US_national_yearly!$D:$AM, 10, FALSE), 1)</f>
        <v>1.4454250997471877E-3</v>
      </c>
      <c r="U13" s="7">
        <f>$B13 * IFERROR(VLOOKUP("electricity|PM25|Non-fatal heart attacks", US_national_yearly!$D:$AM, 29, FALSE) / VLOOKUP("electricity|PM25|Non-fatal heart attacks", US_national_yearly!$D:$AM, 10, FALSE), 1)</f>
        <v>1.4538678314200244E-3</v>
      </c>
      <c r="V13" s="7">
        <f>$B13 * IFERROR(VLOOKUP("electricity|PM25|Non-fatal heart attacks", US_national_yearly!$D:$AM, 30, FALSE) / VLOOKUP("electricity|PM25|Non-fatal heart attacks", US_national_yearly!$D:$AM, 10, FALSE), 1)</f>
        <v>1.4623105630928611E-3</v>
      </c>
      <c r="W13" s="7">
        <f>$B13 * IFERROR(VLOOKUP("electricity|PM25|Non-fatal heart attacks", US_national_yearly!$D:$AM, 31, FALSE) / VLOOKUP("electricity|PM25|Non-fatal heart attacks", US_national_yearly!$D:$AM, 10, FALSE), 1)</f>
        <v>1.470753294765698E-3</v>
      </c>
      <c r="X13" s="7">
        <f>$B13 * IFERROR(VLOOKUP("electricity|PM25|Non-fatal heart attacks", US_national_yearly!$D:$AM, 32, FALSE) / VLOOKUP("electricity|PM25|Non-fatal heart attacks", US_national_yearly!$D:$AM, 10, FALSE), 1)</f>
        <v>1.4773581770267435E-3</v>
      </c>
      <c r="Y13" s="7">
        <f>$B13 * IFERROR(VLOOKUP("electricity|PM25|Non-fatal heart attacks", US_national_yearly!$D:$AM, 33, FALSE) / VLOOKUP("electricity|PM25|Non-fatal heart attacks", US_national_yearly!$D:$AM, 10, FALSE), 1)</f>
        <v>1.4839630592877891E-3</v>
      </c>
      <c r="Z13" s="7">
        <f>$B13 * IFERROR(VLOOKUP("electricity|PM25|Non-fatal heart attacks", US_national_yearly!$D:$AM, 34, FALSE) / VLOOKUP("electricity|PM25|Non-fatal heart attacks", US_national_yearly!$D:$AM, 10, FALSE), 1)</f>
        <v>1.4905679415488347E-3</v>
      </c>
      <c r="AA13" s="7">
        <f>$B13 * IFERROR(VLOOKUP("electricity|PM25|Non-fatal heart attacks", US_national_yearly!$D:$AM, 35, FALSE) / VLOOKUP("electricity|PM25|Non-fatal heart attacks", US_national_yearly!$D:$AM, 10, FALSE), 1)</f>
        <v>1.4971728238098807E-3</v>
      </c>
      <c r="AB13" s="7">
        <f>$B13 * IFERROR(VLOOKUP("electricity|PM25|Non-fatal heart attacks", US_national_yearly!$D:$AM, 36, FALSE) / VLOOKUP("electricity|PM25|Non-fatal heart attacks", US_national_yearly!$D:$AM, 10, FALSE), 1)</f>
        <v>1.5037777060709261E-3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0.92517013699347228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0.92722395250987866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0.92927776802628526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0.93133158354269163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0.93338539905909823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0.93643302330194256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0.93948064754478688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0.94486192208058328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0.9502431966163799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0.9556244711521763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0.96100574568797292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0.96638702022376932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0.97385239998560402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0.98131777974743895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0.98878315950927387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0.99624853927110868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1.0037139190329434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1.0112436914806204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1.0187734639282973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1.0263032363759741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1.0338330088236511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1.0413627812713278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1.047817367948517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1.0542719546257064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1.0607265413028957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1.0671811279800847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1.0736357146572741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0.15414146902422432</v>
      </c>
      <c r="C15" s="7">
        <f>$B15 * IFERROR(VLOOKUP("electricity|PM25|Work loss days", US_national_yearly!$D:$AM, 11, FALSE) / VLOOKUP("electricity|PM25|Work loss days", US_national_yearly!$D:$AM, 10, FALSE), 1)</f>
        <v>0.15458255374796603</v>
      </c>
      <c r="D15" s="7">
        <f>$B15 * IFERROR(VLOOKUP("electricity|PM25|Work loss days", US_national_yearly!$D:$AM, 12, FALSE) / VLOOKUP("electricity|PM25|Work loss days", US_national_yearly!$D:$AM, 10, FALSE), 1)</f>
        <v>0.15502363847170778</v>
      </c>
      <c r="E15" s="7">
        <f>$B15 * IFERROR(VLOOKUP("electricity|PM25|Work loss days", US_national_yearly!$D:$AM, 13, FALSE) / VLOOKUP("electricity|PM25|Work loss days", US_national_yearly!$D:$AM, 10, FALSE), 1)</f>
        <v>0.15546472319544949</v>
      </c>
      <c r="F15" s="7">
        <f>$B15 * IFERROR(VLOOKUP("electricity|PM25|Work loss days", US_national_yearly!$D:$AM, 14, FALSE) / VLOOKUP("electricity|PM25|Work loss days", US_national_yearly!$D:$AM, 10, FALSE), 1)</f>
        <v>0.15590580791919117</v>
      </c>
      <c r="G15" s="7">
        <f>$B15 * IFERROR(VLOOKUP("electricity|PM25|Work loss days", US_national_yearly!$D:$AM, 15, FALSE) / VLOOKUP("electricity|PM25|Work loss days", US_national_yearly!$D:$AM, 10, FALSE), 1)</f>
        <v>0.1564772105357822</v>
      </c>
      <c r="H15" s="7">
        <f>$B15 * IFERROR(VLOOKUP("electricity|PM25|Work loss days", US_national_yearly!$D:$AM, 16, FALSE) / VLOOKUP("electricity|PM25|Work loss days", US_national_yearly!$D:$AM, 10, FALSE), 1)</f>
        <v>0.15704861315237326</v>
      </c>
      <c r="I15" s="7">
        <f>$B15 * IFERROR(VLOOKUP("electricity|PM25|Work loss days", US_national_yearly!$D:$AM, 17, FALSE) / VLOOKUP("electricity|PM25|Work loss days", US_national_yearly!$D:$AM, 10, FALSE), 1)</f>
        <v>0.15790761941420825</v>
      </c>
      <c r="J15" s="7">
        <f>$B15 * IFERROR(VLOOKUP("electricity|PM25|Work loss days", US_national_yearly!$D:$AM, 18, FALSE) / VLOOKUP("electricity|PM25|Work loss days", US_national_yearly!$D:$AM, 10, FALSE), 1)</f>
        <v>0.15876662567604319</v>
      </c>
      <c r="K15" s="7">
        <f>$B15 * IFERROR(VLOOKUP("electricity|PM25|Work loss days", US_national_yearly!$D:$AM, 19, FALSE) / VLOOKUP("electricity|PM25|Work loss days", US_national_yearly!$D:$AM, 10, FALSE), 1)</f>
        <v>0.15962563193787815</v>
      </c>
      <c r="L15" s="7">
        <f>$B15 * IFERROR(VLOOKUP("electricity|PM25|Work loss days", US_national_yearly!$D:$AM, 20, FALSE) / VLOOKUP("electricity|PM25|Work loss days", US_national_yearly!$D:$AM, 10, FALSE), 1)</f>
        <v>0.16048463819971315</v>
      </c>
      <c r="M15" s="7">
        <f>$B15 * IFERROR(VLOOKUP("electricity|PM25|Work loss days", US_national_yearly!$D:$AM, 21, FALSE) / VLOOKUP("electricity|PM25|Work loss days", US_national_yearly!$D:$AM, 10, FALSE), 1)</f>
        <v>0.16134364446154811</v>
      </c>
      <c r="N15" s="7">
        <f>$B15 * IFERROR(VLOOKUP("electricity|PM25|Work loss days", US_national_yearly!$D:$AM, 22, FALSE) / VLOOKUP("electricity|PM25|Work loss days", US_national_yearly!$D:$AM, 10, FALSE), 1)</f>
        <v>0.16245268117991848</v>
      </c>
      <c r="O15" s="7">
        <f>$B15 * IFERROR(VLOOKUP("electricity|PM25|Work loss days", US_national_yearly!$D:$AM, 23, FALSE) / VLOOKUP("electricity|PM25|Work loss days", US_national_yearly!$D:$AM, 10, FALSE), 1)</f>
        <v>0.16356171789828883</v>
      </c>
      <c r="P15" s="7">
        <f>$B15 * IFERROR(VLOOKUP("electricity|PM25|Work loss days", US_national_yearly!$D:$AM, 24, FALSE) / VLOOKUP("electricity|PM25|Work loss days", US_national_yearly!$D:$AM, 10, FALSE), 1)</f>
        <v>0.16467075461665914</v>
      </c>
      <c r="Q15" s="7">
        <f>$B15 * IFERROR(VLOOKUP("electricity|PM25|Work loss days", US_national_yearly!$D:$AM, 25, FALSE) / VLOOKUP("electricity|PM25|Work loss days", US_national_yearly!$D:$AM, 10, FALSE), 1)</f>
        <v>0.16577979133502946</v>
      </c>
      <c r="R15" s="7">
        <f>$B15 * IFERROR(VLOOKUP("electricity|PM25|Work loss days", US_national_yearly!$D:$AM, 26, FALSE) / VLOOKUP("electricity|PM25|Work loss days", US_national_yearly!$D:$AM, 10, FALSE), 1)</f>
        <v>0.1668888280533998</v>
      </c>
      <c r="S15" s="7">
        <f>$B15 * IFERROR(VLOOKUP("electricity|PM25|Work loss days", US_national_yearly!$D:$AM, 27, FALSE) / VLOOKUP("electricity|PM25|Work loss days", US_national_yearly!$D:$AM, 10, FALSE), 1)</f>
        <v>0.16811946719324117</v>
      </c>
      <c r="T15" s="7">
        <f>$B15 * IFERROR(VLOOKUP("electricity|PM25|Work loss days", US_national_yearly!$D:$AM, 28, FALSE) / VLOOKUP("electricity|PM25|Work loss days", US_national_yearly!$D:$AM, 10, FALSE), 1)</f>
        <v>0.16935010633308259</v>
      </c>
      <c r="U15" s="7">
        <f>$B15 * IFERROR(VLOOKUP("electricity|PM25|Work loss days", US_national_yearly!$D:$AM, 29, FALSE) / VLOOKUP("electricity|PM25|Work loss days", US_national_yearly!$D:$AM, 10, FALSE), 1)</f>
        <v>0.17058074547292398</v>
      </c>
      <c r="V15" s="7">
        <f>$B15 * IFERROR(VLOOKUP("electricity|PM25|Work loss days", US_national_yearly!$D:$AM, 30, FALSE) / VLOOKUP("electricity|PM25|Work loss days", US_national_yearly!$D:$AM, 10, FALSE), 1)</f>
        <v>0.17181138461276541</v>
      </c>
      <c r="W15" s="7">
        <f>$B15 * IFERROR(VLOOKUP("electricity|PM25|Work loss days", US_national_yearly!$D:$AM, 31, FALSE) / VLOOKUP("electricity|PM25|Work loss days", US_national_yearly!$D:$AM, 10, FALSE), 1)</f>
        <v>0.17304202375260677</v>
      </c>
      <c r="X15" s="7">
        <f>$B15 * IFERROR(VLOOKUP("electricity|PM25|Work loss days", US_national_yearly!$D:$AM, 32, FALSE) / VLOOKUP("electricity|PM25|Work loss days", US_national_yearly!$D:$AM, 10, FALSE), 1)</f>
        <v>0.17412764940395939</v>
      </c>
      <c r="Y15" s="7">
        <f>$B15 * IFERROR(VLOOKUP("electricity|PM25|Work loss days", US_national_yearly!$D:$AM, 33, FALSE) / VLOOKUP("electricity|PM25|Work loss days", US_national_yearly!$D:$AM, 10, FALSE), 1)</f>
        <v>0.17521327505531195</v>
      </c>
      <c r="Z15" s="7">
        <f>$B15 * IFERROR(VLOOKUP("electricity|PM25|Work loss days", US_national_yearly!$D:$AM, 34, FALSE) / VLOOKUP("electricity|PM25|Work loss days", US_national_yearly!$D:$AM, 10, FALSE), 1)</f>
        <v>0.17629890070666454</v>
      </c>
      <c r="AA15" s="7">
        <f>$B15 * IFERROR(VLOOKUP("electricity|PM25|Work loss days", US_national_yearly!$D:$AM, 35, FALSE) / VLOOKUP("electricity|PM25|Work loss days", US_national_yearly!$D:$AM, 10, FALSE), 1)</f>
        <v>0.17738452635801716</v>
      </c>
      <c r="AB15" s="7">
        <f>$B15 * IFERROR(VLOOKUP("electricity|PM25|Work loss days", US_national_yearly!$D:$AM, 36, FALSE) / VLOOKUP("electricity|PM25|Work loss days", US_national_yearly!$D:$AM, 10, FALSE), 1)</f>
        <v>0.17847015200936975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2.1663891305359427E-4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2.2306765312026989E-4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2.294963931869455E-4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2.3592513325362111E-4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2.4235387332029672E-4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2.4855438314110831E-4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2.547548929619199E-4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2.601262673599983E-4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2.654976417580767E-4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2.7086901615615505E-4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2.762403905542334E-4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2.8161176495231175E-4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2.852225259383254E-4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2.8883328692433895E-4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2.9244404791035255E-4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2.9605480889636614E-4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2.9966556988237969E-4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3.016583536902668E-4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3.0365113749815386E-4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3.0564392130604098E-4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3.0763670511392804E-4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3.096294889218151E-4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3.1101976282622829E-4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3.1241003673064148E-4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3.1380031063505466E-4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3.1519058453946796E-4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3.1658085844388115E-4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2.5110759530153826E-10</v>
      </c>
      <c r="C2" s="7">
        <f>$B2 * IFERROR(VLOOKUP("electricity|NOx|Premature mortality", US_national_yearly!$D:$AM, 11, FALSE) / VLOOKUP("electricity|NOx|Premature mortality", US_national_yearly!$D:$AM, 10, FALSE), 1)</f>
        <v>2.5490701234721739E-10</v>
      </c>
      <c r="D2" s="7">
        <f>$B2 * IFERROR(VLOOKUP("electricity|NOx|Premature mortality", US_national_yearly!$D:$AM, 12, FALSE) / VLOOKUP("electricity|NOx|Premature mortality", US_national_yearly!$D:$AM, 10, FALSE), 1)</f>
        <v>2.5870642939289663E-10</v>
      </c>
      <c r="E2" s="7">
        <f>$B2 * IFERROR(VLOOKUP("electricity|NOx|Premature mortality", US_national_yearly!$D:$AM, 13, FALSE) / VLOOKUP("electricity|NOx|Premature mortality", US_national_yearly!$D:$AM, 10, FALSE), 1)</f>
        <v>2.6250584643857576E-10</v>
      </c>
      <c r="F2" s="7">
        <f>$B2 * IFERROR(VLOOKUP("electricity|NOx|Premature mortality", US_national_yearly!$D:$AM, 14, FALSE) / VLOOKUP("electricity|NOx|Premature mortality", US_national_yearly!$D:$AM, 10, FALSE), 1)</f>
        <v>2.6630526348425489E-10</v>
      </c>
      <c r="G2" s="7">
        <f>$B2 * IFERROR(VLOOKUP("electricity|NOx|Premature mortality", US_national_yearly!$D:$AM, 15, FALSE) / VLOOKUP("electricity|NOx|Premature mortality", US_national_yearly!$D:$AM, 10, FALSE), 1)</f>
        <v>2.7309242162059877E-10</v>
      </c>
      <c r="H2" s="7">
        <f>$B2 * IFERROR(VLOOKUP("electricity|NOx|Premature mortality", US_national_yearly!$D:$AM, 16, FALSE) / VLOOKUP("electricity|NOx|Premature mortality", US_national_yearly!$D:$AM, 10, FALSE), 1)</f>
        <v>2.7987957975694265E-10</v>
      </c>
      <c r="I2" s="7">
        <f>$B2 * IFERROR(VLOOKUP("electricity|NOx|Premature mortality", US_national_yearly!$D:$AM, 17, FALSE) / VLOOKUP("electricity|NOx|Premature mortality", US_national_yearly!$D:$AM, 10, FALSE), 1)</f>
        <v>2.8438992511972262E-10</v>
      </c>
      <c r="J2" s="7">
        <f>$B2 * IFERROR(VLOOKUP("electricity|NOx|Premature mortality", US_national_yearly!$D:$AM, 18, FALSE) / VLOOKUP("electricity|NOx|Premature mortality", US_national_yearly!$D:$AM, 10, FALSE), 1)</f>
        <v>2.8890027048250264E-10</v>
      </c>
      <c r="K2" s="7">
        <f>$B2 * IFERROR(VLOOKUP("electricity|NOx|Premature mortality", US_national_yearly!$D:$AM, 19, FALSE) / VLOOKUP("electricity|NOx|Premature mortality", US_national_yearly!$D:$AM, 10, FALSE), 1)</f>
        <v>2.9341061584528255E-10</v>
      </c>
      <c r="L2" s="7">
        <f>$B2 * IFERROR(VLOOKUP("electricity|NOx|Premature mortality", US_national_yearly!$D:$AM, 20, FALSE) / VLOOKUP("electricity|NOx|Premature mortality", US_national_yearly!$D:$AM, 10, FALSE), 1)</f>
        <v>2.9792096120806252E-10</v>
      </c>
      <c r="M2" s="7">
        <f>$B2 * IFERROR(VLOOKUP("electricity|NOx|Premature mortality", US_national_yearly!$D:$AM, 21, FALSE) / VLOOKUP("electricity|NOx|Premature mortality", US_national_yearly!$D:$AM, 10, FALSE), 1)</f>
        <v>3.0243130657084249E-10</v>
      </c>
      <c r="N2" s="7">
        <f>$B2 * IFERROR(VLOOKUP("electricity|NOx|Premature mortality", US_national_yearly!$D:$AM, 22, FALSE) / VLOOKUP("electricity|NOx|Premature mortality", US_national_yearly!$D:$AM, 10, FALSE), 1)</f>
        <v>3.0591155943618848E-10</v>
      </c>
      <c r="O2" s="7">
        <f>$B2 * IFERROR(VLOOKUP("electricity|NOx|Premature mortality", US_national_yearly!$D:$AM, 23, FALSE) / VLOOKUP("electricity|NOx|Premature mortality", US_national_yearly!$D:$AM, 10, FALSE), 1)</f>
        <v>3.0939181230153457E-10</v>
      </c>
      <c r="P2" s="7">
        <f>$B2 * IFERROR(VLOOKUP("electricity|NOx|Premature mortality", US_national_yearly!$D:$AM, 24, FALSE) / VLOOKUP("electricity|NOx|Premature mortality", US_national_yearly!$D:$AM, 10, FALSE), 1)</f>
        <v>3.1287206516688056E-10</v>
      </c>
      <c r="Q2" s="7">
        <f>$B2 * IFERROR(VLOOKUP("electricity|NOx|Premature mortality", US_national_yearly!$D:$AM, 25, FALSE) / VLOOKUP("electricity|NOx|Premature mortality", US_national_yearly!$D:$AM, 10, FALSE), 1)</f>
        <v>3.163523180322266E-10</v>
      </c>
      <c r="R2" s="7">
        <f>$B2 * IFERROR(VLOOKUP("electricity|NOx|Premature mortality", US_national_yearly!$D:$AM, 26, FALSE) / VLOOKUP("electricity|NOx|Premature mortality", US_national_yearly!$D:$AM, 10, FALSE), 1)</f>
        <v>3.1983257089757259E-10</v>
      </c>
      <c r="S2" s="7">
        <f>$B2 * IFERROR(VLOOKUP("electricity|NOx|Premature mortality", US_national_yearly!$D:$AM, 27, FALSE) / VLOOKUP("electricity|NOx|Premature mortality", US_national_yearly!$D:$AM, 10, FALSE), 1)</f>
        <v>3.2163096327373916E-10</v>
      </c>
      <c r="T2" s="7">
        <f>$B2 * IFERROR(VLOOKUP("electricity|NOx|Premature mortality", US_national_yearly!$D:$AM, 28, FALSE) / VLOOKUP("electricity|NOx|Premature mortality", US_national_yearly!$D:$AM, 10, FALSE), 1)</f>
        <v>3.2342935564990568E-10</v>
      </c>
      <c r="U2" s="7">
        <f>$B2 * IFERROR(VLOOKUP("electricity|NOx|Premature mortality", US_national_yearly!$D:$AM, 29, FALSE) / VLOOKUP("electricity|NOx|Premature mortality", US_national_yearly!$D:$AM, 10, FALSE), 1)</f>
        <v>3.2522774802607236E-10</v>
      </c>
      <c r="V2" s="7">
        <f>$B2 * IFERROR(VLOOKUP("electricity|NOx|Premature mortality", US_national_yearly!$D:$AM, 30, FALSE) / VLOOKUP("electricity|NOx|Premature mortality", US_national_yearly!$D:$AM, 10, FALSE), 1)</f>
        <v>3.2702614040223893E-10</v>
      </c>
      <c r="W2" s="7">
        <f>$B2 * IFERROR(VLOOKUP("electricity|NOx|Premature mortality", US_national_yearly!$D:$AM, 31, FALSE) / VLOOKUP("electricity|NOx|Premature mortality", US_national_yearly!$D:$AM, 10, FALSE), 1)</f>
        <v>3.2882453277840546E-10</v>
      </c>
      <c r="X2" s="7">
        <f>$B2 * IFERROR(VLOOKUP("electricity|NOx|Premature mortality", US_national_yearly!$D:$AM, 32, FALSE) / VLOOKUP("electricity|NOx|Premature mortality", US_national_yearly!$D:$AM, 10, FALSE), 1)</f>
        <v>3.2923138500321549E-10</v>
      </c>
      <c r="Y2" s="7">
        <f>$B2 * IFERROR(VLOOKUP("electricity|NOx|Premature mortality", US_national_yearly!$D:$AM, 33, FALSE) / VLOOKUP("electricity|NOx|Premature mortality", US_national_yearly!$D:$AM, 10, FALSE), 1)</f>
        <v>3.2963823722802557E-10</v>
      </c>
      <c r="Z2" s="7">
        <f>$B2 * IFERROR(VLOOKUP("electricity|NOx|Premature mortality", US_national_yearly!$D:$AM, 34, FALSE) / VLOOKUP("electricity|NOx|Premature mortality", US_national_yearly!$D:$AM, 10, FALSE), 1)</f>
        <v>3.300450894528356E-10</v>
      </c>
      <c r="AA2" s="7">
        <f>$B2 * IFERROR(VLOOKUP("electricity|NOx|Premature mortality", US_national_yearly!$D:$AM, 35, FALSE) / VLOOKUP("electricity|NOx|Premature mortality", US_national_yearly!$D:$AM, 10, FALSE), 1)</f>
        <v>3.3045194167764557E-10</v>
      </c>
      <c r="AB2" s="7">
        <f>$B2 * IFERROR(VLOOKUP("electricity|NOx|Premature mortality", US_national_yearly!$D:$AM, 36, FALSE) / VLOOKUP("electricity|NOx|Premature mortality", US_national_yearly!$D:$AM, 10, FALSE), 1)</f>
        <v>3.308587939024556E-10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2.5464012668059713E-13</v>
      </c>
      <c r="C3" s="7">
        <f>$B3 * IFERROR(VLOOKUP("electricity|NOx|Infant mortality", US_national_yearly!$D:$AM, 11, FALSE) / VLOOKUP("electricity|NOx|Infant mortality", US_national_yearly!$D:$AM, 10, FALSE), 1)</f>
        <v>2.5225782280648073E-13</v>
      </c>
      <c r="D3" s="7">
        <f>$B3 * IFERROR(VLOOKUP("electricity|NOx|Infant mortality", US_national_yearly!$D:$AM, 12, FALSE) / VLOOKUP("electricity|NOx|Infant mortality", US_national_yearly!$D:$AM, 10, FALSE), 1)</f>
        <v>2.4987551893236422E-13</v>
      </c>
      <c r="E3" s="7">
        <f>$B3 * IFERROR(VLOOKUP("electricity|NOx|Infant mortality", US_national_yearly!$D:$AM, 13, FALSE) / VLOOKUP("electricity|NOx|Infant mortality", US_national_yearly!$D:$AM, 10, FALSE), 1)</f>
        <v>2.4749321505824777E-13</v>
      </c>
      <c r="F3" s="7">
        <f>$B3 * IFERROR(VLOOKUP("electricity|NOx|Infant mortality", US_national_yearly!$D:$AM, 14, FALSE) / VLOOKUP("electricity|NOx|Infant mortality", US_national_yearly!$D:$AM, 10, FALSE), 1)</f>
        <v>2.4511091118413131E-13</v>
      </c>
      <c r="G3" s="7">
        <f>$B3 * IFERROR(VLOOKUP("electricity|NOx|Infant mortality", US_national_yearly!$D:$AM, 15, FALSE) / VLOOKUP("electricity|NOx|Infant mortality", US_national_yearly!$D:$AM, 10, FALSE), 1)</f>
        <v>1.623981223400125E-13</v>
      </c>
      <c r="H3" s="7">
        <f>$B3 * IFERROR(VLOOKUP("electricity|NOx|Infant mortality", US_national_yearly!$D:$AM, 16, FALSE) / VLOOKUP("electricity|NOx|Infant mortality", US_national_yearly!$D:$AM, 10, FALSE), 1)</f>
        <v>7.9685333495893704E-14</v>
      </c>
      <c r="I3" s="7">
        <f>$B3 * IFERROR(VLOOKUP("electricity|NOx|Infant mortality", US_national_yearly!$D:$AM, 17, FALSE) / VLOOKUP("electricity|NOx|Infant mortality", US_national_yearly!$D:$AM, 10, FALSE), 1)</f>
        <v>7.9105818206008525E-14</v>
      </c>
      <c r="J3" s="7">
        <f>$B3 * IFERROR(VLOOKUP("electricity|NOx|Infant mortality", US_national_yearly!$D:$AM, 18, FALSE) / VLOOKUP("electricity|NOx|Infant mortality", US_national_yearly!$D:$AM, 10, FALSE), 1)</f>
        <v>7.8526302916123333E-14</v>
      </c>
      <c r="K3" s="7">
        <f>$B3 * IFERROR(VLOOKUP("electricity|NOx|Infant mortality", US_national_yearly!$D:$AM, 19, FALSE) / VLOOKUP("electricity|NOx|Infant mortality", US_national_yearly!$D:$AM, 10, FALSE), 1)</f>
        <v>7.7946787626238154E-14</v>
      </c>
      <c r="L3" s="7">
        <f>$B3 * IFERROR(VLOOKUP("electricity|NOx|Infant mortality", US_national_yearly!$D:$AM, 20, FALSE) / VLOOKUP("electricity|NOx|Infant mortality", US_national_yearly!$D:$AM, 10, FALSE), 1)</f>
        <v>7.7367272336352974E-14</v>
      </c>
      <c r="M3" s="7">
        <f>$B3 * IFERROR(VLOOKUP("electricity|NOx|Infant mortality", US_national_yearly!$D:$AM, 21, FALSE) / VLOOKUP("electricity|NOx|Infant mortality", US_national_yearly!$D:$AM, 10, FALSE), 1)</f>
        <v>7.6787757046467782E-14</v>
      </c>
      <c r="N3" s="7">
        <f>$B3 * IFERROR(VLOOKUP("electricity|NOx|Infant mortality", US_national_yearly!$D:$AM, 22, FALSE) / VLOOKUP("electricity|NOx|Infant mortality", US_national_yearly!$D:$AM, 10, FALSE), 1)</f>
        <v>7.6398608366414209E-14</v>
      </c>
      <c r="O3" s="7">
        <f>$B3 * IFERROR(VLOOKUP("electricity|NOx|Infant mortality", US_national_yearly!$D:$AM, 23, FALSE) / VLOOKUP("electricity|NOx|Infant mortality", US_national_yearly!$D:$AM, 10, FALSE), 1)</f>
        <v>7.6009459686360622E-14</v>
      </c>
      <c r="P3" s="7">
        <f>$B3 * IFERROR(VLOOKUP("electricity|NOx|Infant mortality", US_national_yearly!$D:$AM, 24, FALSE) / VLOOKUP("electricity|NOx|Infant mortality", US_national_yearly!$D:$AM, 10, FALSE), 1)</f>
        <v>7.5620311006307036E-14</v>
      </c>
      <c r="Q3" s="7">
        <f>$B3 * IFERROR(VLOOKUP("electricity|NOx|Infant mortality", US_national_yearly!$D:$AM, 25, FALSE) / VLOOKUP("electricity|NOx|Infant mortality", US_national_yearly!$D:$AM, 10, FALSE), 1)</f>
        <v>7.5231162326253449E-14</v>
      </c>
      <c r="R3" s="7">
        <f>$B3 * IFERROR(VLOOKUP("electricity|NOx|Infant mortality", US_national_yearly!$D:$AM, 26, FALSE) / VLOOKUP("electricity|NOx|Infant mortality", US_national_yearly!$D:$AM, 10, FALSE), 1)</f>
        <v>7.4842013646199876E-14</v>
      </c>
      <c r="S3" s="7">
        <f>$B3 * IFERROR(VLOOKUP("electricity|NOx|Infant mortality", US_national_yearly!$D:$AM, 27, FALSE) / VLOOKUP("electricity|NOx|Infant mortality", US_national_yearly!$D:$AM, 10, FALSE), 1)</f>
        <v>7.4380026394884839E-14</v>
      </c>
      <c r="T3" s="7">
        <f>$B3 * IFERROR(VLOOKUP("electricity|NOx|Infant mortality", US_national_yearly!$D:$AM, 28, FALSE) / VLOOKUP("electricity|NOx|Infant mortality", US_national_yearly!$D:$AM, 10, FALSE), 1)</f>
        <v>7.391803914356979E-14</v>
      </c>
      <c r="U3" s="7">
        <f>$B3 * IFERROR(VLOOKUP("electricity|NOx|Infant mortality", US_national_yearly!$D:$AM, 29, FALSE) / VLOOKUP("electricity|NOx|Infant mortality", US_national_yearly!$D:$AM, 10, FALSE), 1)</f>
        <v>7.3456051892254766E-14</v>
      </c>
      <c r="V3" s="7">
        <f>$B3 * IFERROR(VLOOKUP("electricity|NOx|Infant mortality", US_national_yearly!$D:$AM, 30, FALSE) / VLOOKUP("electricity|NOx|Infant mortality", US_national_yearly!$D:$AM, 10, FALSE), 1)</f>
        <v>7.2994064640939729E-14</v>
      </c>
      <c r="W3" s="7">
        <f>$B3 * IFERROR(VLOOKUP("electricity|NOx|Infant mortality", US_national_yearly!$D:$AM, 31, FALSE) / VLOOKUP("electricity|NOx|Infant mortality", US_national_yearly!$D:$AM, 10, FALSE), 1)</f>
        <v>7.2532077389624693E-14</v>
      </c>
      <c r="X3" s="7">
        <f>$B3 * IFERROR(VLOOKUP("electricity|NOx|Infant mortality", US_national_yearly!$D:$AM, 32, FALSE) / VLOOKUP("electricity|NOx|Infant mortality", US_national_yearly!$D:$AM, 10, FALSE), 1)</f>
        <v>7.2056380956699487E-14</v>
      </c>
      <c r="Y3" s="7">
        <f>$B3 * IFERROR(VLOOKUP("electricity|NOx|Infant mortality", US_national_yearly!$D:$AM, 33, FALSE) / VLOOKUP("electricity|NOx|Infant mortality", US_national_yearly!$D:$AM, 10, FALSE), 1)</f>
        <v>7.1580684523774295E-14</v>
      </c>
      <c r="Z3" s="7">
        <f>$B3 * IFERROR(VLOOKUP("electricity|NOx|Infant mortality", US_national_yearly!$D:$AM, 34, FALSE) / VLOOKUP("electricity|NOx|Infant mortality", US_national_yearly!$D:$AM, 10, FALSE), 1)</f>
        <v>7.110498809084909E-14</v>
      </c>
      <c r="AA3" s="7">
        <f>$B3 * IFERROR(VLOOKUP("electricity|NOx|Infant mortality", US_national_yearly!$D:$AM, 35, FALSE) / VLOOKUP("electricity|NOx|Infant mortality", US_national_yearly!$D:$AM, 10, FALSE), 1)</f>
        <v>7.0629291657923897E-14</v>
      </c>
      <c r="AB3" s="7">
        <f>$B3 * IFERROR(VLOOKUP("electricity|NOx|Infant mortality", US_national_yearly!$D:$AM, 36, FALSE) / VLOOKUP("electricity|NOx|Infant mortality", US_national_yearly!$D:$AM, 10, FALSE), 1)</f>
        <v>7.0153595224998679E-14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4.2201794747296424E-10</v>
      </c>
      <c r="C6" s="7">
        <f>$B6 * IFERROR(VLOOKUP("electricity|NOx|Asthma symptoms cough", US_national_yearly!$D:$AM, 11, FALSE) / VLOOKUP("electricity|NOx|Asthma symptoms cough", US_national_yearly!$D:$AM, 10, FALSE), 1)</f>
        <v>4.2781171832822704E-10</v>
      </c>
      <c r="D6" s="7">
        <f>$B6 * IFERROR(VLOOKUP("electricity|NOx|Asthma symptoms cough", US_national_yearly!$D:$AM, 12, FALSE) / VLOOKUP("electricity|NOx|Asthma symptoms cough", US_national_yearly!$D:$AM, 10, FALSE), 1)</f>
        <v>4.336054891834899E-10</v>
      </c>
      <c r="E6" s="7">
        <f>$B6 * IFERROR(VLOOKUP("electricity|NOx|Asthma symptoms cough", US_national_yearly!$D:$AM, 13, FALSE) / VLOOKUP("electricity|NOx|Asthma symptoms cough", US_national_yearly!$D:$AM, 10, FALSE), 1)</f>
        <v>4.393992600387527E-10</v>
      </c>
      <c r="F6" s="7">
        <f>$B6 * IFERROR(VLOOKUP("electricity|NOx|Asthma symptoms cough", US_national_yearly!$D:$AM, 14, FALSE) / VLOOKUP("electricity|NOx|Asthma symptoms cough", US_national_yearly!$D:$AM, 10, FALSE), 1)</f>
        <v>4.4519303089401546E-10</v>
      </c>
      <c r="G6" s="7">
        <f>$B6 * IFERROR(VLOOKUP("electricity|NOx|Asthma symptoms cough", US_national_yearly!$D:$AM, 15, FALSE) / VLOOKUP("electricity|NOx|Asthma symptoms cough", US_national_yearly!$D:$AM, 10, FALSE), 1)</f>
        <v>4.4990367379805616E-10</v>
      </c>
      <c r="H6" s="7">
        <f>$B6 * IFERROR(VLOOKUP("electricity|NOx|Asthma symptoms cough", US_national_yearly!$D:$AM, 16, FALSE) / VLOOKUP("electricity|NOx|Asthma symptoms cough", US_national_yearly!$D:$AM, 10, FALSE), 1)</f>
        <v>4.5461431670209687E-10</v>
      </c>
      <c r="I6" s="7">
        <f>$B6 * IFERROR(VLOOKUP("electricity|NOx|Asthma symptoms cough", US_national_yearly!$D:$AM, 17, FALSE) / VLOOKUP("electricity|NOx|Asthma symptoms cough", US_national_yearly!$D:$AM, 10, FALSE), 1)</f>
        <v>4.5636544187412306E-10</v>
      </c>
      <c r="J6" s="7">
        <f>$B6 * IFERROR(VLOOKUP("electricity|NOx|Asthma symptoms cough", US_national_yearly!$D:$AM, 18, FALSE) / VLOOKUP("electricity|NOx|Asthma symptoms cough", US_national_yearly!$D:$AM, 10, FALSE), 1)</f>
        <v>4.5811656704614919E-10</v>
      </c>
      <c r="K6" s="7">
        <f>$B6 * IFERROR(VLOOKUP("electricity|NOx|Asthma symptoms cough", US_national_yearly!$D:$AM, 19, FALSE) / VLOOKUP("electricity|NOx|Asthma symptoms cough", US_national_yearly!$D:$AM, 10, FALSE), 1)</f>
        <v>4.5986769221817547E-10</v>
      </c>
      <c r="L6" s="7">
        <f>$B6 * IFERROR(VLOOKUP("electricity|NOx|Asthma symptoms cough", US_national_yearly!$D:$AM, 20, FALSE) / VLOOKUP("electricity|NOx|Asthma symptoms cough", US_national_yearly!$D:$AM, 10, FALSE), 1)</f>
        <v>4.6161881739020161E-10</v>
      </c>
      <c r="M6" s="7">
        <f>$B6 * IFERROR(VLOOKUP("electricity|NOx|Asthma symptoms cough", US_national_yearly!$D:$AM, 21, FALSE) / VLOOKUP("electricity|NOx|Asthma symptoms cough", US_national_yearly!$D:$AM, 10, FALSE), 1)</f>
        <v>4.6336994256222784E-10</v>
      </c>
      <c r="N6" s="7">
        <f>$B6 * IFERROR(VLOOKUP("electricity|NOx|Asthma symptoms cough", US_national_yearly!$D:$AM, 22, FALSE) / VLOOKUP("electricity|NOx|Asthma symptoms cough", US_national_yearly!$D:$AM, 10, FALSE), 1)</f>
        <v>4.6531017466678924E-10</v>
      </c>
      <c r="O6" s="7">
        <f>$B6 * IFERROR(VLOOKUP("electricity|NOx|Asthma symptoms cough", US_national_yearly!$D:$AM, 23, FALSE) / VLOOKUP("electricity|NOx|Asthma symptoms cough", US_national_yearly!$D:$AM, 10, FALSE), 1)</f>
        <v>4.6725040677135068E-10</v>
      </c>
      <c r="P6" s="7">
        <f>$B6 * IFERROR(VLOOKUP("electricity|NOx|Asthma symptoms cough", US_national_yearly!$D:$AM, 24, FALSE) / VLOOKUP("electricity|NOx|Asthma symptoms cough", US_national_yearly!$D:$AM, 10, FALSE), 1)</f>
        <v>4.6919063887591208E-10</v>
      </c>
      <c r="Q6" s="7">
        <f>$B6 * IFERROR(VLOOKUP("electricity|NOx|Asthma symptoms cough", US_national_yearly!$D:$AM, 25, FALSE) / VLOOKUP("electricity|NOx|Asthma symptoms cough", US_national_yearly!$D:$AM, 10, FALSE), 1)</f>
        <v>4.7113087098047357E-10</v>
      </c>
      <c r="R6" s="7">
        <f>$B6 * IFERROR(VLOOKUP("electricity|NOx|Asthma symptoms cough", US_national_yearly!$D:$AM, 26, FALSE) / VLOOKUP("electricity|NOx|Asthma symptoms cough", US_national_yearly!$D:$AM, 10, FALSE), 1)</f>
        <v>4.7307110308503497E-10</v>
      </c>
      <c r="S6" s="7">
        <f>$B6 * IFERROR(VLOOKUP("electricity|NOx|Asthma symptoms cough", US_national_yearly!$D:$AM, 27, FALSE) / VLOOKUP("electricity|NOx|Asthma symptoms cough", US_national_yearly!$D:$AM, 10, FALSE), 1)</f>
        <v>4.7549172130737456E-10</v>
      </c>
      <c r="T6" s="7">
        <f>$B6 * IFERROR(VLOOKUP("electricity|NOx|Asthma symptoms cough", US_national_yearly!$D:$AM, 28, FALSE) / VLOOKUP("electricity|NOx|Asthma symptoms cough", US_national_yearly!$D:$AM, 10, FALSE), 1)</f>
        <v>4.7791233952971405E-10</v>
      </c>
      <c r="U6" s="7">
        <f>$B6 * IFERROR(VLOOKUP("electricity|NOx|Asthma symptoms cough", US_national_yearly!$D:$AM, 29, FALSE) / VLOOKUP("electricity|NOx|Asthma symptoms cough", US_national_yearly!$D:$AM, 10, FALSE), 1)</f>
        <v>4.8033295775205375E-10</v>
      </c>
      <c r="V6" s="7">
        <f>$B6 * IFERROR(VLOOKUP("electricity|NOx|Asthma symptoms cough", US_national_yearly!$D:$AM, 30, FALSE) / VLOOKUP("electricity|NOx|Asthma symptoms cough", US_national_yearly!$D:$AM, 10, FALSE), 1)</f>
        <v>4.8275357597439324E-10</v>
      </c>
      <c r="W6" s="7">
        <f>$B6 * IFERROR(VLOOKUP("electricity|NOx|Asthma symptoms cough", US_national_yearly!$D:$AM, 31, FALSE) / VLOOKUP("electricity|NOx|Asthma symptoms cough", US_national_yearly!$D:$AM, 10, FALSE), 1)</f>
        <v>4.8517419419673273E-10</v>
      </c>
      <c r="X6" s="7">
        <f>$B6 * IFERROR(VLOOKUP("electricity|NOx|Asthma symptoms cough", US_national_yearly!$D:$AM, 32, FALSE) / VLOOKUP("electricity|NOx|Asthma symptoms cough", US_national_yearly!$D:$AM, 10, FALSE), 1)</f>
        <v>4.8740432592302378E-10</v>
      </c>
      <c r="Y6" s="7">
        <f>$B6 * IFERROR(VLOOKUP("electricity|NOx|Asthma symptoms cough", US_national_yearly!$D:$AM, 33, FALSE) / VLOOKUP("electricity|NOx|Asthma symptoms cough", US_national_yearly!$D:$AM, 10, FALSE), 1)</f>
        <v>4.8963445764931484E-10</v>
      </c>
      <c r="Z6" s="7">
        <f>$B6 * IFERROR(VLOOKUP("electricity|NOx|Asthma symptoms cough", US_national_yearly!$D:$AM, 34, FALSE) / VLOOKUP("electricity|NOx|Asthma symptoms cough", US_national_yearly!$D:$AM, 10, FALSE), 1)</f>
        <v>4.9186458937560589E-10</v>
      </c>
      <c r="AA6" s="7">
        <f>$B6 * IFERROR(VLOOKUP("electricity|NOx|Asthma symptoms cough", US_national_yearly!$D:$AM, 35, FALSE) / VLOOKUP("electricity|NOx|Asthma symptoms cough", US_national_yearly!$D:$AM, 10, FALSE), 1)</f>
        <v>4.9409472110189684E-10</v>
      </c>
      <c r="AB6" s="7">
        <f>$B6 * IFERROR(VLOOKUP("electricity|NOx|Asthma symptoms cough", US_national_yearly!$D:$AM, 36, FALSE) / VLOOKUP("electricity|NOx|Asthma symptoms cough", US_national_yearly!$D:$AM, 10, FALSE), 1)</f>
        <v>4.9632485282818789E-10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5.6920443096633632E-10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5.7701888543779851E-10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5.848333399092609E-10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5.9264779438072319E-10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6.0046224885218537E-10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6.0681581466927732E-10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6.1316938048636916E-10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6.1553124259096737E-10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6.1789310469556528E-10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6.2025496680016338E-10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6.2261682890476139E-10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6.2497869100935949E-10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6.2759561455294951E-10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6.3021253809653962E-10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6.3282946164012963E-10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6.3544638518371975E-10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6.3806330872730986E-10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6.4132816184331716E-10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6.4459301495932436E-10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6.4785786807533166E-10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6.5112272119133885E-10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6.5438757430734615E-10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6.5739550527477664E-10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6.6040343624220723E-10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6.6341136720963771E-10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6.664192981770683E-10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6.6942722914449889E-10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8.6847119936085075E-10</v>
      </c>
      <c r="C8" s="7">
        <f>$B8 * IFERROR(VLOOKUP("electricity|NOx|Asthma symptoms wheeze", US_national_yearly!$D:$AM, 11, FALSE) / VLOOKUP("electricity|NOx|Asthma symptoms wheeze", US_national_yearly!$D:$AM, 10, FALSE), 1)</f>
        <v>8.8039420678817921E-10</v>
      </c>
      <c r="D8" s="7">
        <f>$B8 * IFERROR(VLOOKUP("electricity|NOx|Asthma symptoms wheeze", US_national_yearly!$D:$AM, 12, FALSE) / VLOOKUP("electricity|NOx|Asthma symptoms wheeze", US_national_yearly!$D:$AM, 10, FALSE), 1)</f>
        <v>8.9231721421550778E-10</v>
      </c>
      <c r="E8" s="7">
        <f>$B8 * IFERROR(VLOOKUP("electricity|NOx|Asthma symptoms wheeze", US_national_yearly!$D:$AM, 13, FALSE) / VLOOKUP("electricity|NOx|Asthma symptoms wheeze", US_national_yearly!$D:$AM, 10, FALSE), 1)</f>
        <v>9.0424022164283624E-10</v>
      </c>
      <c r="F8" s="7">
        <f>$B8 * IFERROR(VLOOKUP("electricity|NOx|Asthma symptoms wheeze", US_national_yearly!$D:$AM, 14, FALSE) / VLOOKUP("electricity|NOx|Asthma symptoms wheeze", US_national_yearly!$D:$AM, 10, FALSE), 1)</f>
        <v>9.1616322907016491E-10</v>
      </c>
      <c r="G8" s="7">
        <f>$B8 * IFERROR(VLOOKUP("electricity|NOx|Asthma symptoms wheeze", US_national_yearly!$D:$AM, 15, FALSE) / VLOOKUP("electricity|NOx|Asthma symptoms wheeze", US_national_yearly!$D:$AM, 10, FALSE), 1)</f>
        <v>9.2585726629099884E-10</v>
      </c>
      <c r="H8" s="7">
        <f>$B8 * IFERROR(VLOOKUP("electricity|NOx|Asthma symptoms wheeze", US_national_yearly!$D:$AM, 16, FALSE) / VLOOKUP("electricity|NOx|Asthma symptoms wheeze", US_national_yearly!$D:$AM, 10, FALSE), 1)</f>
        <v>9.3555130351183287E-10</v>
      </c>
      <c r="I8" s="7">
        <f>$B8 * IFERROR(VLOOKUP("electricity|NOx|Asthma symptoms wheeze", US_national_yearly!$D:$AM, 17, FALSE) / VLOOKUP("electricity|NOx|Asthma symptoms wheeze", US_national_yearly!$D:$AM, 10, FALSE), 1)</f>
        <v>9.3915494592720475E-10</v>
      </c>
      <c r="J8" s="7">
        <f>$B8 * IFERROR(VLOOKUP("electricity|NOx|Asthma symptoms wheeze", US_national_yearly!$D:$AM, 18, FALSE) / VLOOKUP("electricity|NOx|Asthma symptoms wheeze", US_national_yearly!$D:$AM, 10, FALSE), 1)</f>
        <v>9.4275858834257685E-10</v>
      </c>
      <c r="K8" s="7">
        <f>$B8 * IFERROR(VLOOKUP("electricity|NOx|Asthma symptoms wheeze", US_national_yearly!$D:$AM, 19, FALSE) / VLOOKUP("electricity|NOx|Asthma symptoms wheeze", US_national_yearly!$D:$AM, 10, FALSE), 1)</f>
        <v>9.4636223075794915E-10</v>
      </c>
      <c r="L8" s="7">
        <f>$B8 * IFERROR(VLOOKUP("electricity|NOx|Asthma symptoms wheeze", US_national_yearly!$D:$AM, 20, FALSE) / VLOOKUP("electricity|NOx|Asthma symptoms wheeze", US_national_yearly!$D:$AM, 10, FALSE), 1)</f>
        <v>9.4996587317332124E-10</v>
      </c>
      <c r="M8" s="7">
        <f>$B8 * IFERROR(VLOOKUP("electricity|NOx|Asthma symptoms wheeze", US_national_yearly!$D:$AM, 21, FALSE) / VLOOKUP("electricity|NOx|Asthma symptoms wheeze", US_national_yearly!$D:$AM, 10, FALSE), 1)</f>
        <v>9.5356951558869313E-10</v>
      </c>
      <c r="N8" s="7">
        <f>$B8 * IFERROR(VLOOKUP("electricity|NOx|Asthma symptoms wheeze", US_national_yearly!$D:$AM, 22, FALSE) / VLOOKUP("electricity|NOx|Asthma symptoms wheeze", US_national_yearly!$D:$AM, 10, FALSE), 1)</f>
        <v>9.5756232136874087E-10</v>
      </c>
      <c r="O8" s="7">
        <f>$B8 * IFERROR(VLOOKUP("electricity|NOx|Asthma symptoms wheeze", US_national_yearly!$D:$AM, 23, FALSE) / VLOOKUP("electricity|NOx|Asthma symptoms wheeze", US_national_yearly!$D:$AM, 10, FALSE), 1)</f>
        <v>9.6155512714878883E-10</v>
      </c>
      <c r="P8" s="7">
        <f>$B8 * IFERROR(VLOOKUP("electricity|NOx|Asthma symptoms wheeze", US_national_yearly!$D:$AM, 24, FALSE) / VLOOKUP("electricity|NOx|Asthma symptoms wheeze", US_national_yearly!$D:$AM, 10, FALSE), 1)</f>
        <v>9.6554793292883678E-10</v>
      </c>
      <c r="Q8" s="7">
        <f>$B8 * IFERROR(VLOOKUP("electricity|NOx|Asthma symptoms wheeze", US_national_yearly!$D:$AM, 25, FALSE) / VLOOKUP("electricity|NOx|Asthma symptoms wheeze", US_national_yearly!$D:$AM, 10, FALSE), 1)</f>
        <v>9.6954073870888452E-10</v>
      </c>
      <c r="R8" s="7">
        <f>$B8 * IFERROR(VLOOKUP("electricity|NOx|Asthma symptoms wheeze", US_national_yearly!$D:$AM, 26, FALSE) / VLOOKUP("electricity|NOx|Asthma symptoms wheeze", US_national_yearly!$D:$AM, 10, FALSE), 1)</f>
        <v>9.7353354448893227E-10</v>
      </c>
      <c r="S8" s="7">
        <f>$B8 * IFERROR(VLOOKUP("electricity|NOx|Asthma symptoms wheeze", US_national_yearly!$D:$AM, 27, FALSE) / VLOOKUP("electricity|NOx|Asthma symptoms wheeze", US_national_yearly!$D:$AM, 10, FALSE), 1)</f>
        <v>9.7851493739011101E-10</v>
      </c>
      <c r="T8" s="7">
        <f>$B8 * IFERROR(VLOOKUP("electricity|NOx|Asthma symptoms wheeze", US_national_yearly!$D:$AM, 28, FALSE) / VLOOKUP("electricity|NOx|Asthma symptoms wheeze", US_national_yearly!$D:$AM, 10, FALSE), 1)</f>
        <v>9.8349633029128974E-10</v>
      </c>
      <c r="U8" s="7">
        <f>$B8 * IFERROR(VLOOKUP("electricity|NOx|Asthma symptoms wheeze", US_national_yearly!$D:$AM, 29, FALSE) / VLOOKUP("electricity|NOx|Asthma symptoms wheeze", US_national_yearly!$D:$AM, 10, FALSE), 1)</f>
        <v>9.8847772319246827E-10</v>
      </c>
      <c r="V8" s="7">
        <f>$B8 * IFERROR(VLOOKUP("electricity|NOx|Asthma symptoms wheeze", US_national_yearly!$D:$AM, 30, FALSE) / VLOOKUP("electricity|NOx|Asthma symptoms wheeze", US_national_yearly!$D:$AM, 10, FALSE), 1)</f>
        <v>9.9345911609364701E-10</v>
      </c>
      <c r="W8" s="7">
        <f>$B8 * IFERROR(VLOOKUP("electricity|NOx|Asthma symptoms wheeze", US_national_yearly!$D:$AM, 31, FALSE) / VLOOKUP("electricity|NOx|Asthma symptoms wheeze", US_national_yearly!$D:$AM, 10, FALSE), 1)</f>
        <v>9.9844050899482575E-10</v>
      </c>
      <c r="X8" s="7">
        <f>$B8 * IFERROR(VLOOKUP("electricity|NOx|Asthma symptoms wheeze", US_national_yearly!$D:$AM, 32, FALSE) / VLOOKUP("electricity|NOx|Asthma symptoms wheeze", US_national_yearly!$D:$AM, 10, FALSE), 1)</f>
        <v>1.0030298995255887E-9</v>
      </c>
      <c r="Y8" s="7">
        <f>$B8 * IFERROR(VLOOKUP("electricity|NOx|Asthma symptoms wheeze", US_national_yearly!$D:$AM, 33, FALSE) / VLOOKUP("electricity|NOx|Asthma symptoms wheeze", US_national_yearly!$D:$AM, 10, FALSE), 1)</f>
        <v>1.0076192900563519E-9</v>
      </c>
      <c r="Z8" s="7">
        <f>$B8 * IFERROR(VLOOKUP("electricity|NOx|Asthma symptoms wheeze", US_national_yearly!$D:$AM, 34, FALSE) / VLOOKUP("electricity|NOx|Asthma symptoms wheeze", US_national_yearly!$D:$AM, 10, FALSE), 1)</f>
        <v>1.0122086805871145E-9</v>
      </c>
      <c r="AA8" s="7">
        <f>$B8 * IFERROR(VLOOKUP("electricity|NOx|Asthma symptoms wheeze", US_national_yearly!$D:$AM, 35, FALSE) / VLOOKUP("electricity|NOx|Asthma symptoms wheeze", US_national_yearly!$D:$AM, 10, FALSE), 1)</f>
        <v>1.0167980711178777E-9</v>
      </c>
      <c r="AB8" s="7">
        <f>$B8 * IFERROR(VLOOKUP("electricity|NOx|Asthma symptoms wheeze", US_national_yearly!$D:$AM, 36, FALSE) / VLOOKUP("electricity|NOx|Asthma symptoms wheeze", US_national_yearly!$D:$AM, 10, FALSE), 1)</f>
        <v>1.0213874616486406E-9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1.6788358235520593E-11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1.7218336130472228E-11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1.7648314025423866E-11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1.8078291920375501E-11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1.8508269815327132E-11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1.892218987830995E-11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1.933610994129277E-11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1.9692047142925153E-11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2.0047984344557532E-11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2.0403921546189918E-11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2.07598587478223E-11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2.1115795949454683E-11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2.1359724183269419E-11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2.1603652417084156E-11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2.1847580650898892E-11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2.2091508884713628E-11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2.2335437118528364E-11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2.2474362029774817E-11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2.2613286941021273E-11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2.275221185226772E-11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2.2891136763514173E-11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2.3030061674760626E-11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2.3131108096660971E-11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2.3232154518561309E-11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2.3333200940461661E-11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2.3434247362362005E-11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2.3535293784262344E-11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7.7663927022990534E-11</v>
      </c>
      <c r="C13" s="7">
        <f>$B13 * IFERROR(VLOOKUP("electricity|NOx|Non-fatal heart attacks", US_national_yearly!$D:$AM, 11, FALSE) / VLOOKUP("electricity|NOx|Non-fatal heart attacks", US_national_yearly!$D:$AM, 10, FALSE), 1)</f>
        <v>7.9892667768356313E-11</v>
      </c>
      <c r="D13" s="7">
        <f>$B13 * IFERROR(VLOOKUP("electricity|NOx|Non-fatal heart attacks", US_national_yearly!$D:$AM, 12, FALSE) / VLOOKUP("electricity|NOx|Non-fatal heart attacks", US_national_yearly!$D:$AM, 10, FALSE), 1)</f>
        <v>8.2121408513722091E-11</v>
      </c>
      <c r="E13" s="7">
        <f>$B13 * IFERROR(VLOOKUP("electricity|NOx|Non-fatal heart attacks", US_national_yearly!$D:$AM, 13, FALSE) / VLOOKUP("electricity|NOx|Non-fatal heart attacks", US_national_yearly!$D:$AM, 10, FALSE), 1)</f>
        <v>8.435014925908787E-11</v>
      </c>
      <c r="F13" s="7">
        <f>$B13 * IFERROR(VLOOKUP("electricity|NOx|Non-fatal heart attacks", US_national_yearly!$D:$AM, 14, FALSE) / VLOOKUP("electricity|NOx|Non-fatal heart attacks", US_national_yearly!$D:$AM, 10, FALSE), 1)</f>
        <v>8.6578890004453662E-11</v>
      </c>
      <c r="G13" s="7">
        <f>$B13 * IFERROR(VLOOKUP("electricity|NOx|Non-fatal heart attacks", US_national_yearly!$D:$AM, 15, FALSE) / VLOOKUP("electricity|NOx|Non-fatal heart attacks", US_national_yearly!$D:$AM, 10, FALSE), 1)</f>
        <v>8.8678449299683685E-11</v>
      </c>
      <c r="H13" s="7">
        <f>$B13 * IFERROR(VLOOKUP("electricity|NOx|Non-fatal heart attacks", US_national_yearly!$D:$AM, 16, FALSE) / VLOOKUP("electricity|NOx|Non-fatal heart attacks", US_national_yearly!$D:$AM, 10, FALSE), 1)</f>
        <v>9.0778008594913721E-11</v>
      </c>
      <c r="I13" s="7">
        <f>$B13 * IFERROR(VLOOKUP("electricity|NOx|Non-fatal heart attacks", US_national_yearly!$D:$AM, 17, FALSE) / VLOOKUP("electricity|NOx|Non-fatal heart attacks", US_national_yearly!$D:$AM, 10, FALSE), 1)</f>
        <v>9.2461642738712406E-11</v>
      </c>
      <c r="J13" s="7">
        <f>$B13 * IFERROR(VLOOKUP("electricity|NOx|Non-fatal heart attacks", US_national_yearly!$D:$AM, 18, FALSE) / VLOOKUP("electricity|NOx|Non-fatal heart attacks", US_national_yearly!$D:$AM, 10, FALSE), 1)</f>
        <v>9.4145276882511091E-11</v>
      </c>
      <c r="K13" s="7">
        <f>$B13 * IFERROR(VLOOKUP("electricity|NOx|Non-fatal heart attacks", US_national_yearly!$D:$AM, 19, FALSE) / VLOOKUP("electricity|NOx|Non-fatal heart attacks", US_national_yearly!$D:$AM, 10, FALSE), 1)</f>
        <v>9.5828911026309686E-11</v>
      </c>
      <c r="L13" s="7">
        <f>$B13 * IFERROR(VLOOKUP("electricity|NOx|Non-fatal heart attacks", US_national_yearly!$D:$AM, 20, FALSE) / VLOOKUP("electricity|NOx|Non-fatal heart attacks", US_national_yearly!$D:$AM, 10, FALSE), 1)</f>
        <v>9.7512545170108372E-11</v>
      </c>
      <c r="M13" s="7">
        <f>$B13 * IFERROR(VLOOKUP("electricity|NOx|Non-fatal heart attacks", US_national_yearly!$D:$AM, 21, FALSE) / VLOOKUP("electricity|NOx|Non-fatal heart attacks", US_national_yearly!$D:$AM, 10, FALSE), 1)</f>
        <v>9.9196179313907083E-11</v>
      </c>
      <c r="N13" s="7">
        <f>$B13 * IFERROR(VLOOKUP("electricity|NOx|Non-fatal heart attacks", US_national_yearly!$D:$AM, 22, FALSE) / VLOOKUP("electricity|NOx|Non-fatal heart attacks", US_national_yearly!$D:$AM, 10, FALSE), 1)</f>
        <v>1.0023451147200965E-10</v>
      </c>
      <c r="O13" s="7">
        <f>$B13 * IFERROR(VLOOKUP("electricity|NOx|Non-fatal heart attacks", US_national_yearly!$D:$AM, 23, FALSE) / VLOOKUP("electricity|NOx|Non-fatal heart attacks", US_national_yearly!$D:$AM, 10, FALSE), 1)</f>
        <v>1.0127284363011225E-10</v>
      </c>
      <c r="P13" s="7">
        <f>$B13 * IFERROR(VLOOKUP("electricity|NOx|Non-fatal heart attacks", US_national_yearly!$D:$AM, 24, FALSE) / VLOOKUP("electricity|NOx|Non-fatal heart attacks", US_national_yearly!$D:$AM, 10, FALSE), 1)</f>
        <v>1.0231117578821484E-10</v>
      </c>
      <c r="Q13" s="7">
        <f>$B13 * IFERROR(VLOOKUP("electricity|NOx|Non-fatal heart attacks", US_national_yearly!$D:$AM, 25, FALSE) / VLOOKUP("electricity|NOx|Non-fatal heart attacks", US_national_yearly!$D:$AM, 10, FALSE), 1)</f>
        <v>1.0334950794631742E-10</v>
      </c>
      <c r="R13" s="7">
        <f>$B13 * IFERROR(VLOOKUP("electricity|NOx|Non-fatal heart attacks", US_national_yearly!$D:$AM, 26, FALSE) / VLOOKUP("electricity|NOx|Non-fatal heart attacks", US_national_yearly!$D:$AM, 10, FALSE), 1)</f>
        <v>1.0438784010442002E-10</v>
      </c>
      <c r="S13" s="7">
        <f>$B13 * IFERROR(VLOOKUP("electricity|NOx|Non-fatal heart attacks", US_national_yearly!$D:$AM, 27, FALSE) / VLOOKUP("electricity|NOx|Non-fatal heart attacks", US_national_yearly!$D:$AM, 10, FALSE), 1)</f>
        <v>1.0489516573764761E-10</v>
      </c>
      <c r="T13" s="7">
        <f>$B13 * IFERROR(VLOOKUP("electricity|NOx|Non-fatal heart attacks", US_national_yearly!$D:$AM, 28, FALSE) / VLOOKUP("electricity|NOx|Non-fatal heart attacks", US_national_yearly!$D:$AM, 10, FALSE), 1)</f>
        <v>1.0540249137087518E-10</v>
      </c>
      <c r="U13" s="7">
        <f>$B13 * IFERROR(VLOOKUP("electricity|NOx|Non-fatal heart attacks", US_national_yearly!$D:$AM, 29, FALSE) / VLOOKUP("electricity|NOx|Non-fatal heart attacks", US_national_yearly!$D:$AM, 10, FALSE), 1)</f>
        <v>1.0590981700410279E-10</v>
      </c>
      <c r="V13" s="7">
        <f>$B13 * IFERROR(VLOOKUP("electricity|NOx|Non-fatal heart attacks", US_national_yearly!$D:$AM, 30, FALSE) / VLOOKUP("electricity|NOx|Non-fatal heart attacks", US_national_yearly!$D:$AM, 10, FALSE), 1)</f>
        <v>1.0641714263733037E-10</v>
      </c>
      <c r="W13" s="7">
        <f>$B13 * IFERROR(VLOOKUP("electricity|NOx|Non-fatal heart attacks", US_national_yearly!$D:$AM, 31, FALSE) / VLOOKUP("electricity|NOx|Non-fatal heart attacks", US_national_yearly!$D:$AM, 10, FALSE), 1)</f>
        <v>1.0692446827055798E-10</v>
      </c>
      <c r="X13" s="7">
        <f>$B13 * IFERROR(VLOOKUP("electricity|NOx|Non-fatal heart attacks", US_national_yearly!$D:$AM, 32, FALSE) / VLOOKUP("electricity|NOx|Non-fatal heart attacks", US_national_yearly!$D:$AM, 10, FALSE), 1)</f>
        <v>1.0727856808030778E-10</v>
      </c>
      <c r="Y13" s="7">
        <f>$B13 * IFERROR(VLOOKUP("electricity|NOx|Non-fatal heart attacks", US_national_yearly!$D:$AM, 33, FALSE) / VLOOKUP("electricity|NOx|Non-fatal heart attacks", US_national_yearly!$D:$AM, 10, FALSE), 1)</f>
        <v>1.076326678900576E-10</v>
      </c>
      <c r="Z13" s="7">
        <f>$B13 * IFERROR(VLOOKUP("electricity|NOx|Non-fatal heart attacks", US_national_yearly!$D:$AM, 34, FALSE) / VLOOKUP("electricity|NOx|Non-fatal heart attacks", US_national_yearly!$D:$AM, 10, FALSE), 1)</f>
        <v>1.0798676769980738E-10</v>
      </c>
      <c r="AA13" s="7">
        <f>$B13 * IFERROR(VLOOKUP("electricity|NOx|Non-fatal heart attacks", US_national_yearly!$D:$AM, 35, FALSE) / VLOOKUP("electricity|NOx|Non-fatal heart attacks", US_national_yearly!$D:$AM, 10, FALSE), 1)</f>
        <v>1.0834086750955718E-10</v>
      </c>
      <c r="AB13" s="7">
        <f>$B13 * IFERROR(VLOOKUP("electricity|NOx|Non-fatal heart attacks", US_national_yearly!$D:$AM, 36, FALSE) / VLOOKUP("electricity|NOx|Non-fatal heart attacks", US_national_yearly!$D:$AM, 10, FALSE), 1)</f>
        <v>1.08694967319307E-10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5.8792820832521173E-8</v>
      </c>
      <c r="C14" s="7">
        <f>$B14 * IFERROR(VLOOKUP("electricity|NOx|Minor restricted activity days", US_national_yearly!$D:$AM, 11, FALSE) / VLOOKUP("electricity|NOx|Minor restricted activity days", US_national_yearly!$D:$AM, 10, FALSE), 1)</f>
        <v>5.8882963063702876E-8</v>
      </c>
      <c r="D14" s="7">
        <f>$B14 * IFERROR(VLOOKUP("electricity|NOx|Minor restricted activity days", US_national_yearly!$D:$AM, 12, FALSE) / VLOOKUP("electricity|NOx|Minor restricted activity days", US_national_yearly!$D:$AM, 10, FALSE), 1)</f>
        <v>5.8973105294884573E-8</v>
      </c>
      <c r="E14" s="7">
        <f>$B14 * IFERROR(VLOOKUP("electricity|NOx|Minor restricted activity days", US_national_yearly!$D:$AM, 13, FALSE) / VLOOKUP("electricity|NOx|Minor restricted activity days", US_national_yearly!$D:$AM, 10, FALSE), 1)</f>
        <v>5.9063247526066276E-8</v>
      </c>
      <c r="F14" s="7">
        <f>$B14 * IFERROR(VLOOKUP("electricity|NOx|Minor restricted activity days", US_national_yearly!$D:$AM, 14, FALSE) / VLOOKUP("electricity|NOx|Minor restricted activity days", US_national_yearly!$D:$AM, 10, FALSE), 1)</f>
        <v>5.9153389757247986E-8</v>
      </c>
      <c r="G14" s="7">
        <f>$B14 * IFERROR(VLOOKUP("electricity|NOx|Minor restricted activity days", US_national_yearly!$D:$AM, 15, FALSE) / VLOOKUP("electricity|NOx|Minor restricted activity days", US_national_yearly!$D:$AM, 10, FALSE), 1)</f>
        <v>5.9310629309321733E-8</v>
      </c>
      <c r="H14" s="7">
        <f>$B14 * IFERROR(VLOOKUP("electricity|NOx|Minor restricted activity days", US_national_yearly!$D:$AM, 16, FALSE) / VLOOKUP("electricity|NOx|Minor restricted activity days", US_national_yearly!$D:$AM, 10, FALSE), 1)</f>
        <v>5.9467868861395461E-8</v>
      </c>
      <c r="I14" s="7">
        <f>$B14 * IFERROR(VLOOKUP("electricity|NOx|Minor restricted activity days", US_national_yearly!$D:$AM, 17, FALSE) / VLOOKUP("electricity|NOx|Minor restricted activity days", US_national_yearly!$D:$AM, 10, FALSE), 1)</f>
        <v>5.9778966250323678E-8</v>
      </c>
      <c r="J14" s="7">
        <f>$B14 * IFERROR(VLOOKUP("electricity|NOx|Minor restricted activity days", US_national_yearly!$D:$AM, 18, FALSE) / VLOOKUP("electricity|NOx|Minor restricted activity days", US_national_yearly!$D:$AM, 10, FALSE), 1)</f>
        <v>6.0090063639251855E-8</v>
      </c>
      <c r="K14" s="7">
        <f>$B14 * IFERROR(VLOOKUP("electricity|NOx|Minor restricted activity days", US_national_yearly!$D:$AM, 19, FALSE) / VLOOKUP("electricity|NOx|Minor restricted activity days", US_national_yearly!$D:$AM, 10, FALSE), 1)</f>
        <v>6.0401161028180073E-8</v>
      </c>
      <c r="L14" s="7">
        <f>$B14 * IFERROR(VLOOKUP("electricity|NOx|Minor restricted activity days", US_national_yearly!$D:$AM, 20, FALSE) / VLOOKUP("electricity|NOx|Minor restricted activity days", US_national_yearly!$D:$AM, 10, FALSE), 1)</f>
        <v>6.071225841710825E-8</v>
      </c>
      <c r="M14" s="7">
        <f>$B14 * IFERROR(VLOOKUP("electricity|NOx|Minor restricted activity days", US_national_yearly!$D:$AM, 21, FALSE) / VLOOKUP("electricity|NOx|Minor restricted activity days", US_national_yearly!$D:$AM, 10, FALSE), 1)</f>
        <v>6.1023355806036467E-8</v>
      </c>
      <c r="N14" s="7">
        <f>$B14 * IFERROR(VLOOKUP("electricity|NOx|Minor restricted activity days", US_national_yearly!$D:$AM, 22, FALSE) / VLOOKUP("electricity|NOx|Minor restricted activity days", US_national_yearly!$D:$AM, 10, FALSE), 1)</f>
        <v>6.147322876893916E-8</v>
      </c>
      <c r="O14" s="7">
        <f>$B14 * IFERROR(VLOOKUP("electricity|NOx|Minor restricted activity days", US_national_yearly!$D:$AM, 23, FALSE) / VLOOKUP("electricity|NOx|Minor restricted activity days", US_national_yearly!$D:$AM, 10, FALSE), 1)</f>
        <v>6.1923101731841853E-8</v>
      </c>
      <c r="P14" s="7">
        <f>$B14 * IFERROR(VLOOKUP("electricity|NOx|Minor restricted activity days", US_national_yearly!$D:$AM, 24, FALSE) / VLOOKUP("electricity|NOx|Minor restricted activity days", US_national_yearly!$D:$AM, 10, FALSE), 1)</f>
        <v>6.2372974694744547E-8</v>
      </c>
      <c r="Q14" s="7">
        <f>$B14 * IFERROR(VLOOKUP("electricity|NOx|Minor restricted activity days", US_national_yearly!$D:$AM, 25, FALSE) / VLOOKUP("electricity|NOx|Minor restricted activity days", US_national_yearly!$D:$AM, 10, FALSE), 1)</f>
        <v>6.2822847657647253E-8</v>
      </c>
      <c r="R14" s="7">
        <f>$B14 * IFERROR(VLOOKUP("electricity|NOx|Minor restricted activity days", US_national_yearly!$D:$AM, 26, FALSE) / VLOOKUP("electricity|NOx|Minor restricted activity days", US_national_yearly!$D:$AM, 10, FALSE), 1)</f>
        <v>6.3272720620549959E-8</v>
      </c>
      <c r="S14" s="7">
        <f>$B14 * IFERROR(VLOOKUP("electricity|NOx|Minor restricted activity days", US_national_yearly!$D:$AM, 27, FALSE) / VLOOKUP("electricity|NOx|Minor restricted activity days", US_national_yearly!$D:$AM, 10, FALSE), 1)</f>
        <v>6.3725995667842154E-8</v>
      </c>
      <c r="T14" s="7">
        <f>$B14 * IFERROR(VLOOKUP("electricity|NOx|Minor restricted activity days", US_national_yearly!$D:$AM, 28, FALSE) / VLOOKUP("electricity|NOx|Minor restricted activity days", US_national_yearly!$D:$AM, 10, FALSE), 1)</f>
        <v>6.4179270715134348E-8</v>
      </c>
      <c r="U14" s="7">
        <f>$B14 * IFERROR(VLOOKUP("electricity|NOx|Minor restricted activity days", US_national_yearly!$D:$AM, 29, FALSE) / VLOOKUP("electricity|NOx|Minor restricted activity days", US_national_yearly!$D:$AM, 10, FALSE), 1)</f>
        <v>6.4632545762426556E-8</v>
      </c>
      <c r="V14" s="7">
        <f>$B14 * IFERROR(VLOOKUP("electricity|NOx|Minor restricted activity days", US_national_yearly!$D:$AM, 30, FALSE) / VLOOKUP("electricity|NOx|Minor restricted activity days", US_national_yearly!$D:$AM, 10, FALSE), 1)</f>
        <v>6.5085820809718751E-8</v>
      </c>
      <c r="W14" s="7">
        <f>$B14 * IFERROR(VLOOKUP("electricity|NOx|Minor restricted activity days", US_national_yearly!$D:$AM, 31, FALSE) / VLOOKUP("electricity|NOx|Minor restricted activity days", US_national_yearly!$D:$AM, 10, FALSE), 1)</f>
        <v>6.5539095857010945E-8</v>
      </c>
      <c r="X14" s="7">
        <f>$B14 * IFERROR(VLOOKUP("electricity|NOx|Minor restricted activity days", US_national_yearly!$D:$AM, 32, FALSE) / VLOOKUP("electricity|NOx|Minor restricted activity days", US_national_yearly!$D:$AM, 10, FALSE), 1)</f>
        <v>6.5922432218000213E-8</v>
      </c>
      <c r="Y14" s="7">
        <f>$B14 * IFERROR(VLOOKUP("electricity|NOx|Minor restricted activity days", US_national_yearly!$D:$AM, 33, FALSE) / VLOOKUP("electricity|NOx|Minor restricted activity days", US_national_yearly!$D:$AM, 10, FALSE), 1)</f>
        <v>6.6305768578989441E-8</v>
      </c>
      <c r="Z14" s="7">
        <f>$B14 * IFERROR(VLOOKUP("electricity|NOx|Minor restricted activity days", US_national_yearly!$D:$AM, 34, FALSE) / VLOOKUP("electricity|NOx|Minor restricted activity days", US_national_yearly!$D:$AM, 10, FALSE), 1)</f>
        <v>6.6689104939978762E-8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6.7072441300968016E-8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6.7455777661957271E-8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9.8043232514455388E-9</v>
      </c>
      <c r="C15" s="7">
        <f>$B15 * IFERROR(VLOOKUP("electricity|NOx|Work loss days", US_national_yearly!$D:$AM, 11, FALSE) / VLOOKUP("electricity|NOx|Work loss days", US_national_yearly!$D:$AM, 10, FALSE), 1)</f>
        <v>9.8261903963649425E-9</v>
      </c>
      <c r="D15" s="7">
        <f>$B15 * IFERROR(VLOOKUP("electricity|NOx|Work loss days", US_national_yearly!$D:$AM, 12, FALSE) / VLOOKUP("electricity|NOx|Work loss days", US_national_yearly!$D:$AM, 10, FALSE), 1)</f>
        <v>9.8480575412843478E-9</v>
      </c>
      <c r="E15" s="7">
        <f>$B15 * IFERROR(VLOOKUP("electricity|NOx|Work loss days", US_national_yearly!$D:$AM, 13, FALSE) / VLOOKUP("electricity|NOx|Work loss days", US_national_yearly!$D:$AM, 10, FALSE), 1)</f>
        <v>9.8699246862037515E-9</v>
      </c>
      <c r="F15" s="7">
        <f>$B15 * IFERROR(VLOOKUP("electricity|NOx|Work loss days", US_national_yearly!$D:$AM, 14, FALSE) / VLOOKUP("electricity|NOx|Work loss days", US_national_yearly!$D:$AM, 10, FALSE), 1)</f>
        <v>9.8917918311231553E-9</v>
      </c>
      <c r="G15" s="7">
        <f>$B15 * IFERROR(VLOOKUP("electricity|NOx|Work loss days", US_national_yearly!$D:$AM, 15, FALSE) / VLOOKUP("electricity|NOx|Work loss days", US_national_yearly!$D:$AM, 10, FALSE), 1)</f>
        <v>9.9226194925951884E-9</v>
      </c>
      <c r="H15" s="7">
        <f>$B15 * IFERROR(VLOOKUP("electricity|NOx|Work loss days", US_national_yearly!$D:$AM, 16, FALSE) / VLOOKUP("electricity|NOx|Work loss days", US_national_yearly!$D:$AM, 10, FALSE), 1)</f>
        <v>9.9534471540672182E-9</v>
      </c>
      <c r="I15" s="7">
        <f>$B15 * IFERROR(VLOOKUP("electricity|NOx|Work loss days", US_national_yearly!$D:$AM, 17, FALSE) / VLOOKUP("electricity|NOx|Work loss days", US_national_yearly!$D:$AM, 10, FALSE), 1)</f>
        <v>1.0003503000687996E-8</v>
      </c>
      <c r="J15" s="7">
        <f>$B15 * IFERROR(VLOOKUP("electricity|NOx|Work loss days", US_national_yearly!$D:$AM, 18, FALSE) / VLOOKUP("electricity|NOx|Work loss days", US_national_yearly!$D:$AM, 10, FALSE), 1)</f>
        <v>1.0053558847308776E-8</v>
      </c>
      <c r="K15" s="7">
        <f>$B15 * IFERROR(VLOOKUP("electricity|NOx|Work loss days", US_national_yearly!$D:$AM, 19, FALSE) / VLOOKUP("electricity|NOx|Work loss days", US_national_yearly!$D:$AM, 10, FALSE), 1)</f>
        <v>1.0103614693929552E-8</v>
      </c>
      <c r="L15" s="7">
        <f>$B15 * IFERROR(VLOOKUP("electricity|NOx|Work loss days", US_national_yearly!$D:$AM, 20, FALSE) / VLOOKUP("electricity|NOx|Work loss days", US_national_yearly!$D:$AM, 10, FALSE), 1)</f>
        <v>1.0153670540550328E-8</v>
      </c>
      <c r="M15" s="7">
        <f>$B15 * IFERROR(VLOOKUP("electricity|NOx|Work loss days", US_national_yearly!$D:$AM, 21, FALSE) / VLOOKUP("electricity|NOx|Work loss days", US_national_yearly!$D:$AM, 10, FALSE), 1)</f>
        <v>1.0203726387171104E-8</v>
      </c>
      <c r="N15" s="7">
        <f>$B15 * IFERROR(VLOOKUP("electricity|NOx|Work loss days", US_national_yearly!$D:$AM, 22, FALSE) / VLOOKUP("electricity|NOx|Work loss days", US_national_yearly!$D:$AM, 10, FALSE), 1)</f>
        <v>1.0269768522603553E-8</v>
      </c>
      <c r="O15" s="7">
        <f>$B15 * IFERROR(VLOOKUP("electricity|NOx|Work loss days", US_national_yearly!$D:$AM, 23, FALSE) / VLOOKUP("electricity|NOx|Work loss days", US_national_yearly!$D:$AM, 10, FALSE), 1)</f>
        <v>1.0335810658035999E-8</v>
      </c>
      <c r="P15" s="7">
        <f>$B15 * IFERROR(VLOOKUP("electricity|NOx|Work loss days", US_national_yearly!$D:$AM, 24, FALSE) / VLOOKUP("electricity|NOx|Work loss days", US_national_yearly!$D:$AM, 10, FALSE), 1)</f>
        <v>1.0401852793468447E-8</v>
      </c>
      <c r="Q15" s="7">
        <f>$B15 * IFERROR(VLOOKUP("electricity|NOx|Work loss days", US_national_yearly!$D:$AM, 25, FALSE) / VLOOKUP("electricity|NOx|Work loss days", US_national_yearly!$D:$AM, 10, FALSE), 1)</f>
        <v>1.0467894928900896E-8</v>
      </c>
      <c r="R15" s="7">
        <f>$B15 * IFERROR(VLOOKUP("electricity|NOx|Work loss days", US_national_yearly!$D:$AM, 26, FALSE) / VLOOKUP("electricity|NOx|Work loss days", US_national_yearly!$D:$AM, 10, FALSE), 1)</f>
        <v>1.053393706433334E-8</v>
      </c>
      <c r="S15" s="7">
        <f>$B15 * IFERROR(VLOOKUP("electricity|NOx|Work loss days", US_national_yearly!$D:$AM, 27, FALSE) / VLOOKUP("electricity|NOx|Work loss days", US_national_yearly!$D:$AM, 10, FALSE), 1)</f>
        <v>1.0607945686900189E-8</v>
      </c>
      <c r="T15" s="7">
        <f>$B15 * IFERROR(VLOOKUP("electricity|NOx|Work loss days", US_national_yearly!$D:$AM, 28, FALSE) / VLOOKUP("electricity|NOx|Work loss days", US_national_yearly!$D:$AM, 10, FALSE), 1)</f>
        <v>1.0681954309467035E-8</v>
      </c>
      <c r="U15" s="7">
        <f>$B15 * IFERROR(VLOOKUP("electricity|NOx|Work loss days", US_national_yearly!$D:$AM, 29, FALSE) / VLOOKUP("electricity|NOx|Work loss days", US_national_yearly!$D:$AM, 10, FALSE), 1)</f>
        <v>1.0755962932033883E-8</v>
      </c>
      <c r="V15" s="7">
        <f>$B15 * IFERROR(VLOOKUP("electricity|NOx|Work loss days", US_national_yearly!$D:$AM, 30, FALSE) / VLOOKUP("electricity|NOx|Work loss days", US_national_yearly!$D:$AM, 10, FALSE), 1)</f>
        <v>1.0829971554600729E-8</v>
      </c>
      <c r="W15" s="7">
        <f>$B15 * IFERROR(VLOOKUP("electricity|NOx|Work loss days", US_national_yearly!$D:$AM, 31, FALSE) / VLOOKUP("electricity|NOx|Work loss days", US_national_yearly!$D:$AM, 10, FALSE), 1)</f>
        <v>1.0903980177167578E-8</v>
      </c>
      <c r="X15" s="7">
        <f>$B15 * IFERROR(VLOOKUP("electricity|NOx|Work loss days", US_national_yearly!$D:$AM, 32, FALSE) / VLOOKUP("electricity|NOx|Work loss days", US_national_yearly!$D:$AM, 10, FALSE), 1)</f>
        <v>1.096849381389047E-8</v>
      </c>
      <c r="Y15" s="7">
        <f>$B15 * IFERROR(VLOOKUP("electricity|NOx|Work loss days", US_national_yearly!$D:$AM, 33, FALSE) / VLOOKUP("electricity|NOx|Work loss days", US_national_yearly!$D:$AM, 10, FALSE), 1)</f>
        <v>1.103300745061336E-8</v>
      </c>
      <c r="Z15" s="7">
        <f>$B15 * IFERROR(VLOOKUP("electricity|NOx|Work loss days", US_national_yearly!$D:$AM, 34, FALSE) / VLOOKUP("electricity|NOx|Work loss days", US_national_yearly!$D:$AM, 10, FALSE), 1)</f>
        <v>1.1097521087336251E-8</v>
      </c>
      <c r="AA15" s="7">
        <f>$B15 * IFERROR(VLOOKUP("electricity|NOx|Work loss days", US_national_yearly!$D:$AM, 35, FALSE) / VLOOKUP("electricity|NOx|Work loss days", US_national_yearly!$D:$AM, 10, FALSE), 1)</f>
        <v>1.1162034724059144E-8</v>
      </c>
      <c r="AB15" s="7">
        <f>$B15 * IFERROR(VLOOKUP("electricity|NOx|Work loss days", US_national_yearly!$D:$AM, 36, FALSE) / VLOOKUP("electricity|NOx|Work loss days", US_national_yearly!$D:$AM, 10, FALSE), 1)</f>
        <v>1.1226548360782036E-8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1.7200340985912823E-11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1.7707005124815014E-11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1.8213669263717208E-11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1.8720333402619403E-11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1.9226997541521597E-11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1.9712167793639992E-11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2.0197338045758388E-11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2.0611455762033025E-11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2.1025573478307665E-11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2.1439691194582305E-11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2.1853808910856945E-11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2.2267926627131582E-11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2.2533695833404874E-11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2.2799465039678167E-11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2.3065234245951459E-11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2.3331003452224755E-11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2.3596772658498047E-11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2.3727562368607636E-11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2.3858352078717222E-11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2.3989141788826808E-11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2.41199314989364E-11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2.4250721209045986E-11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2.4329108450182699E-11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2.440749569131941E-11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2.448588293245612E-11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2.4564270173592831E-11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2.4642657414729541E-11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192.74239653513001</v>
      </c>
      <c r="C2" s="7">
        <f>$B2 * IFERROR(VLOOKUP("electricity|SO2|Premature mortality", US_national_yearly!$D:$AM, 11, FALSE) / VLOOKUP("electricity|SO2|Premature mortality", US_national_yearly!$D:$AM, 10, FALSE), 1)</f>
        <v>195.21339852563639</v>
      </c>
      <c r="D2" s="7">
        <f>$B2 * IFERROR(VLOOKUP("electricity|SO2|Premature mortality", US_national_yearly!$D:$AM, 12, FALSE) / VLOOKUP("electricity|SO2|Premature mortality", US_national_yearly!$D:$AM, 10, FALSE), 1)</f>
        <v>197.68440051614272</v>
      </c>
      <c r="E2" s="7">
        <f>$B2 * IFERROR(VLOOKUP("electricity|SO2|Premature mortality", US_national_yearly!$D:$AM, 13, FALSE) / VLOOKUP("electricity|SO2|Premature mortality", US_national_yearly!$D:$AM, 10, FALSE), 1)</f>
        <v>200.1554025066491</v>
      </c>
      <c r="F2" s="7">
        <f>$B2 * IFERROR(VLOOKUP("electricity|SO2|Premature mortality", US_national_yearly!$D:$AM, 14, FALSE) / VLOOKUP("electricity|SO2|Premature mortality", US_national_yearly!$D:$AM, 10, FALSE), 1)</f>
        <v>202.62640449715542</v>
      </c>
      <c r="G2" s="7">
        <f>$B2 * IFERROR(VLOOKUP("electricity|SO2|Premature mortality", US_national_yearly!$D:$AM, 15, FALSE) / VLOOKUP("electricity|SO2|Premature mortality", US_national_yearly!$D:$AM, 10, FALSE), 1)</f>
        <v>207.3865454389325</v>
      </c>
      <c r="H2" s="7">
        <f>$B2 * IFERROR(VLOOKUP("electricity|SO2|Premature mortality", US_national_yearly!$D:$AM, 16, FALSE) / VLOOKUP("electricity|SO2|Premature mortality", US_national_yearly!$D:$AM, 10, FALSE), 1)</f>
        <v>212.14668638070955</v>
      </c>
      <c r="I2" s="7">
        <f>$B2 * IFERROR(VLOOKUP("electricity|SO2|Premature mortality", US_national_yearly!$D:$AM, 17, FALSE) / VLOOKUP("electricity|SO2|Premature mortality", US_national_yearly!$D:$AM, 10, FALSE), 1)</f>
        <v>215.35091868822769</v>
      </c>
      <c r="J2" s="7">
        <f>$B2 * IFERROR(VLOOKUP("electricity|SO2|Premature mortality", US_national_yearly!$D:$AM, 18, FALSE) / VLOOKUP("electricity|SO2|Premature mortality", US_national_yearly!$D:$AM, 10, FALSE), 1)</f>
        <v>218.55515099574586</v>
      </c>
      <c r="K2" s="7">
        <f>$B2 * IFERROR(VLOOKUP("electricity|SO2|Premature mortality", US_national_yearly!$D:$AM, 19, FALSE) / VLOOKUP("electricity|SO2|Premature mortality", US_national_yearly!$D:$AM, 10, FALSE), 1)</f>
        <v>221.75938330326395</v>
      </c>
      <c r="L2" s="7">
        <f>$B2 * IFERROR(VLOOKUP("electricity|SO2|Premature mortality", US_national_yearly!$D:$AM, 20, FALSE) / VLOOKUP("electricity|SO2|Premature mortality", US_national_yearly!$D:$AM, 10, FALSE), 1)</f>
        <v>224.96361561078214</v>
      </c>
      <c r="M2" s="7">
        <f>$B2 * IFERROR(VLOOKUP("electricity|SO2|Premature mortality", US_national_yearly!$D:$AM, 21, FALSE) / VLOOKUP("electricity|SO2|Premature mortality", US_national_yearly!$D:$AM, 10, FALSE), 1)</f>
        <v>228.16784791830025</v>
      </c>
      <c r="N2" s="7">
        <f>$B2 * IFERROR(VLOOKUP("electricity|SO2|Premature mortality", US_national_yearly!$D:$AM, 22, FALSE) / VLOOKUP("electricity|SO2|Premature mortality", US_national_yearly!$D:$AM, 10, FALSE), 1)</f>
        <v>230.73578472149137</v>
      </c>
      <c r="O2" s="7">
        <f>$B2 * IFERROR(VLOOKUP("electricity|SO2|Premature mortality", US_national_yearly!$D:$AM, 23, FALSE) / VLOOKUP("electricity|SO2|Premature mortality", US_national_yearly!$D:$AM, 10, FALSE), 1)</f>
        <v>233.30372152468252</v>
      </c>
      <c r="P2" s="7">
        <f>$B2 * IFERROR(VLOOKUP("electricity|SO2|Premature mortality", US_national_yearly!$D:$AM, 24, FALSE) / VLOOKUP("electricity|SO2|Premature mortality", US_national_yearly!$D:$AM, 10, FALSE), 1)</f>
        <v>235.87165832787358</v>
      </c>
      <c r="Q2" s="7">
        <f>$B2 * IFERROR(VLOOKUP("electricity|SO2|Premature mortality", US_national_yearly!$D:$AM, 25, FALSE) / VLOOKUP("electricity|SO2|Premature mortality", US_national_yearly!$D:$AM, 10, FALSE), 1)</f>
        <v>238.43959513106469</v>
      </c>
      <c r="R2" s="7">
        <f>$B2 * IFERROR(VLOOKUP("electricity|SO2|Premature mortality", US_national_yearly!$D:$AM, 26, FALSE) / VLOOKUP("electricity|SO2|Premature mortality", US_national_yearly!$D:$AM, 10, FALSE), 1)</f>
        <v>241.00753193425581</v>
      </c>
      <c r="S2" s="7">
        <f>$B2 * IFERROR(VLOOKUP("electricity|SO2|Premature mortality", US_national_yearly!$D:$AM, 27, FALSE) / VLOOKUP("electricity|SO2|Premature mortality", US_national_yearly!$D:$AM, 10, FALSE), 1)</f>
        <v>242.47980511179227</v>
      </c>
      <c r="T2" s="7">
        <f>$B2 * IFERROR(VLOOKUP("electricity|SO2|Premature mortality", US_national_yearly!$D:$AM, 28, FALSE) / VLOOKUP("electricity|SO2|Premature mortality", US_national_yearly!$D:$AM, 10, FALSE), 1)</f>
        <v>243.95207828932882</v>
      </c>
      <c r="U2" s="7">
        <f>$B2 * IFERROR(VLOOKUP("electricity|SO2|Premature mortality", US_national_yearly!$D:$AM, 29, FALSE) / VLOOKUP("electricity|SO2|Premature mortality", US_national_yearly!$D:$AM, 10, FALSE), 1)</f>
        <v>245.42435146686529</v>
      </c>
      <c r="V2" s="7">
        <f>$B2 * IFERROR(VLOOKUP("electricity|SO2|Premature mortality", US_national_yearly!$D:$AM, 30, FALSE) / VLOOKUP("electricity|SO2|Premature mortality", US_national_yearly!$D:$AM, 10, FALSE), 1)</f>
        <v>246.89662464440181</v>
      </c>
      <c r="W2" s="7">
        <f>$B2 * IFERROR(VLOOKUP("electricity|SO2|Premature mortality", US_national_yearly!$D:$AM, 31, FALSE) / VLOOKUP("electricity|SO2|Premature mortality", US_national_yearly!$D:$AM, 10, FALSE), 1)</f>
        <v>248.3688978219383</v>
      </c>
      <c r="X2" s="7">
        <f>$B2 * IFERROR(VLOOKUP("electricity|SO2|Premature mortality", US_national_yearly!$D:$AM, 32, FALSE) / VLOOKUP("electricity|SO2|Premature mortality", US_national_yearly!$D:$AM, 10, FALSE), 1)</f>
        <v>248.80269673633882</v>
      </c>
      <c r="Y2" s="7">
        <f>$B2 * IFERROR(VLOOKUP("electricity|SO2|Premature mortality", US_national_yearly!$D:$AM, 33, FALSE) / VLOOKUP("electricity|SO2|Premature mortality", US_national_yearly!$D:$AM, 10, FALSE), 1)</f>
        <v>249.2364956507393</v>
      </c>
      <c r="Z2" s="7">
        <f>$B2 * IFERROR(VLOOKUP("electricity|SO2|Premature mortality", US_national_yearly!$D:$AM, 34, FALSE) / VLOOKUP("electricity|SO2|Premature mortality", US_national_yearly!$D:$AM, 10, FALSE), 1)</f>
        <v>249.67029456513976</v>
      </c>
      <c r="AA2" s="7">
        <f>$B2 * IFERROR(VLOOKUP("electricity|SO2|Premature mortality", US_national_yearly!$D:$AM, 35, FALSE) / VLOOKUP("electricity|SO2|Premature mortality", US_national_yearly!$D:$AM, 10, FALSE), 1)</f>
        <v>250.1040934795403</v>
      </c>
      <c r="AB2" s="7">
        <f>$B2 * IFERROR(VLOOKUP("electricity|SO2|Premature mortality", US_national_yearly!$D:$AM, 36, FALSE) / VLOOKUP("electricity|SO2|Premature mortality", US_national_yearly!$D:$AM, 10, FALSE), 1)</f>
        <v>250.53789239394075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0.22322480269489894</v>
      </c>
      <c r="C3" s="7">
        <f>$B3 * IFERROR(VLOOKUP("electricity|SO2|Infant mortality", US_national_yearly!$D:$AM, 11, FALSE) / VLOOKUP("electricity|SO2|Infant mortality", US_national_yearly!$D:$AM, 10, FALSE), 1)</f>
        <v>0.22133897754402762</v>
      </c>
      <c r="D3" s="7">
        <f>$B3 * IFERROR(VLOOKUP("electricity|SO2|Infant mortality", US_national_yearly!$D:$AM, 12, FALSE) / VLOOKUP("electricity|SO2|Infant mortality", US_national_yearly!$D:$AM, 10, FALSE), 1)</f>
        <v>0.21945315239315627</v>
      </c>
      <c r="E3" s="7">
        <f>$B3 * IFERROR(VLOOKUP("electricity|SO2|Infant mortality", US_national_yearly!$D:$AM, 13, FALSE) / VLOOKUP("electricity|SO2|Infant mortality", US_national_yearly!$D:$AM, 10, FALSE), 1)</f>
        <v>0.21756732724228489</v>
      </c>
      <c r="F3" s="7">
        <f>$B3 * IFERROR(VLOOKUP("electricity|SO2|Infant mortality", US_national_yearly!$D:$AM, 14, FALSE) / VLOOKUP("electricity|SO2|Infant mortality", US_national_yearly!$D:$AM, 10, FALSE), 1)</f>
        <v>0.2156815020914136</v>
      </c>
      <c r="G3" s="7">
        <f>$B3 * IFERROR(VLOOKUP("electricity|SO2|Infant mortality", US_national_yearly!$D:$AM, 15, FALSE) / VLOOKUP("electricity|SO2|Infant mortality", US_national_yearly!$D:$AM, 10, FALSE), 1)</f>
        <v>0.14343937146581676</v>
      </c>
      <c r="H3" s="7">
        <f>$B3 * IFERROR(VLOOKUP("electricity|SO2|Infant mortality", US_national_yearly!$D:$AM, 16, FALSE) / VLOOKUP("electricity|SO2|Infant mortality", US_national_yearly!$D:$AM, 10, FALSE), 1)</f>
        <v>7.1197240840219916E-2</v>
      </c>
      <c r="I3" s="7">
        <f>$B3 * IFERROR(VLOOKUP("electricity|SO2|Infant mortality", US_national_yearly!$D:$AM, 17, FALSE) / VLOOKUP("electricity|SO2|Infant mortality", US_national_yearly!$D:$AM, 10, FALSE), 1)</f>
        <v>7.0741757870354596E-2</v>
      </c>
      <c r="J3" s="7">
        <f>$B3 * IFERROR(VLOOKUP("electricity|SO2|Infant mortality", US_national_yearly!$D:$AM, 18, FALSE) / VLOOKUP("electricity|SO2|Infant mortality", US_national_yearly!$D:$AM, 10, FALSE), 1)</f>
        <v>7.0286274900489262E-2</v>
      </c>
      <c r="K3" s="7">
        <f>$B3 * IFERROR(VLOOKUP("electricity|SO2|Infant mortality", US_national_yearly!$D:$AM, 19, FALSE) / VLOOKUP("electricity|SO2|Infant mortality", US_national_yearly!$D:$AM, 10, FALSE), 1)</f>
        <v>6.9830791930623956E-2</v>
      </c>
      <c r="L3" s="7">
        <f>$B3 * IFERROR(VLOOKUP("electricity|SO2|Infant mortality", US_national_yearly!$D:$AM, 20, FALSE) / VLOOKUP("electricity|SO2|Infant mortality", US_national_yearly!$D:$AM, 10, FALSE), 1)</f>
        <v>6.9375308960758622E-2</v>
      </c>
      <c r="M3" s="7">
        <f>$B3 * IFERROR(VLOOKUP("electricity|SO2|Infant mortality", US_national_yearly!$D:$AM, 21, FALSE) / VLOOKUP("electricity|SO2|Infant mortality", US_national_yearly!$D:$AM, 10, FALSE), 1)</f>
        <v>6.8919825990893302E-2</v>
      </c>
      <c r="N3" s="7">
        <f>$B3 * IFERROR(VLOOKUP("electricity|SO2|Infant mortality", US_national_yearly!$D:$AM, 22, FALSE) / VLOOKUP("electricity|SO2|Infant mortality", US_national_yearly!$D:$AM, 10, FALSE), 1)</f>
        <v>6.8631211797356304E-2</v>
      </c>
      <c r="O3" s="7">
        <f>$B3 * IFERROR(VLOOKUP("electricity|SO2|Infant mortality", US_national_yearly!$D:$AM, 23, FALSE) / VLOOKUP("electricity|SO2|Infant mortality", US_national_yearly!$D:$AM, 10, FALSE), 1)</f>
        <v>6.8342597603819291E-2</v>
      </c>
      <c r="P3" s="7">
        <f>$B3 * IFERROR(VLOOKUP("electricity|SO2|Infant mortality", US_national_yearly!$D:$AM, 24, FALSE) / VLOOKUP("electricity|SO2|Infant mortality", US_national_yearly!$D:$AM, 10, FALSE), 1)</f>
        <v>6.8053983410282293E-2</v>
      </c>
      <c r="Q3" s="7">
        <f>$B3 * IFERROR(VLOOKUP("electricity|SO2|Infant mortality", US_national_yearly!$D:$AM, 25, FALSE) / VLOOKUP("electricity|SO2|Infant mortality", US_national_yearly!$D:$AM, 10, FALSE), 1)</f>
        <v>6.7765369216745294E-2</v>
      </c>
      <c r="R3" s="7">
        <f>$B3 * IFERROR(VLOOKUP("electricity|SO2|Infant mortality", US_national_yearly!$D:$AM, 26, FALSE) / VLOOKUP("electricity|SO2|Infant mortality", US_national_yearly!$D:$AM, 10, FALSE), 1)</f>
        <v>6.7476755023208296E-2</v>
      </c>
      <c r="S3" s="7">
        <f>$B3 * IFERROR(VLOOKUP("electricity|SO2|Infant mortality", US_national_yearly!$D:$AM, 27, FALSE) / VLOOKUP("electricity|SO2|Infant mortality", US_national_yearly!$D:$AM, 10, FALSE), 1)</f>
        <v>6.7117034001504788E-2</v>
      </c>
      <c r="T3" s="7">
        <f>$B3 * IFERROR(VLOOKUP("electricity|SO2|Infant mortality", US_national_yearly!$D:$AM, 28, FALSE) / VLOOKUP("electricity|SO2|Infant mortality", US_national_yearly!$D:$AM, 10, FALSE), 1)</f>
        <v>6.6757312979801295E-2</v>
      </c>
      <c r="U3" s="7">
        <f>$B3 * IFERROR(VLOOKUP("electricity|SO2|Infant mortality", US_national_yearly!$D:$AM, 29, FALSE) / VLOOKUP("electricity|SO2|Infant mortality", US_national_yearly!$D:$AM, 10, FALSE), 1)</f>
        <v>6.6397591958097801E-2</v>
      </c>
      <c r="V3" s="7">
        <f>$B3 * IFERROR(VLOOKUP("electricity|SO2|Infant mortality", US_national_yearly!$D:$AM, 30, FALSE) / VLOOKUP("electricity|SO2|Infant mortality", US_national_yearly!$D:$AM, 10, FALSE), 1)</f>
        <v>6.6037870936394308E-2</v>
      </c>
      <c r="W3" s="7">
        <f>$B3 * IFERROR(VLOOKUP("electricity|SO2|Infant mortality", US_national_yearly!$D:$AM, 31, FALSE) / VLOOKUP("electricity|SO2|Infant mortality", US_national_yearly!$D:$AM, 10, FALSE), 1)</f>
        <v>6.56781499146908E-2</v>
      </c>
      <c r="X3" s="7">
        <f>$B3 * IFERROR(VLOOKUP("electricity|SO2|Infant mortality", US_national_yearly!$D:$AM, 32, FALSE) / VLOOKUP("electricity|SO2|Infant mortality", US_national_yearly!$D:$AM, 10, FALSE), 1)</f>
        <v>6.5294338118573686E-2</v>
      </c>
      <c r="Y3" s="7">
        <f>$B3 * IFERROR(VLOOKUP("electricity|SO2|Infant mortality", US_national_yearly!$D:$AM, 33, FALSE) / VLOOKUP("electricity|SO2|Infant mortality", US_national_yearly!$D:$AM, 10, FALSE), 1)</f>
        <v>6.4910526322456544E-2</v>
      </c>
      <c r="Z3" s="7">
        <f>$B3 * IFERROR(VLOOKUP("electricity|SO2|Infant mortality", US_national_yearly!$D:$AM, 34, FALSE) / VLOOKUP("electricity|SO2|Infant mortality", US_national_yearly!$D:$AM, 10, FALSE), 1)</f>
        <v>6.4526714526339415E-2</v>
      </c>
      <c r="AA3" s="7">
        <f>$B3 * IFERROR(VLOOKUP("electricity|SO2|Infant mortality", US_national_yearly!$D:$AM, 35, FALSE) / VLOOKUP("electricity|SO2|Infant mortality", US_national_yearly!$D:$AM, 10, FALSE), 1)</f>
        <v>6.4142902730222301E-2</v>
      </c>
      <c r="AB3" s="7">
        <f>$B3 * IFERROR(VLOOKUP("electricity|SO2|Infant mortality", US_national_yearly!$D:$AM, 36, FALSE) / VLOOKUP("electricity|SO2|Infant mortality", US_national_yearly!$D:$AM, 10, FALSE), 1)</f>
        <v>6.3759090934105173E-2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366.5791678388984</v>
      </c>
      <c r="C6" s="7">
        <f>$B6 * IFERROR(VLOOKUP("electricity|SO2|Asthma symptoms cough", US_national_yearly!$D:$AM, 11, FALSE) / VLOOKUP("electricity|SO2|Asthma symptoms cough", US_national_yearly!$D:$AM, 10, FALSE), 1)</f>
        <v>366.5791678388984</v>
      </c>
      <c r="D6" s="7">
        <f>$B6 * IFERROR(VLOOKUP("electricity|SO2|Asthma symptoms cough", US_national_yearly!$D:$AM, 12, FALSE) / VLOOKUP("electricity|SO2|Asthma symptoms cough", US_national_yearly!$D:$AM, 10, FALSE), 1)</f>
        <v>366.5791678388984</v>
      </c>
      <c r="E6" s="7">
        <f>$B6 * IFERROR(VLOOKUP("electricity|SO2|Asthma symptoms cough", US_national_yearly!$D:$AM, 13, FALSE) / VLOOKUP("electricity|SO2|Asthma symptoms cough", US_national_yearly!$D:$AM, 10, FALSE), 1)</f>
        <v>366.5791678388984</v>
      </c>
      <c r="F6" s="7">
        <f>$B6 * IFERROR(VLOOKUP("electricity|SO2|Asthma symptoms cough", US_national_yearly!$D:$AM, 14, FALSE) / VLOOKUP("electricity|SO2|Asthma symptoms cough", US_national_yearly!$D:$AM, 10, FALSE), 1)</f>
        <v>366.5791678388984</v>
      </c>
      <c r="G6" s="7">
        <f>$B6 * IFERROR(VLOOKUP("electricity|SO2|Asthma symptoms cough", US_national_yearly!$D:$AM, 15, FALSE) / VLOOKUP("electricity|SO2|Asthma symptoms cough", US_national_yearly!$D:$AM, 10, FALSE), 1)</f>
        <v>366.5791678388984</v>
      </c>
      <c r="H6" s="7">
        <f>$B6 * IFERROR(VLOOKUP("electricity|SO2|Asthma symptoms cough", US_national_yearly!$D:$AM, 16, FALSE) / VLOOKUP("electricity|SO2|Asthma symptoms cough", US_national_yearly!$D:$AM, 10, FALSE), 1)</f>
        <v>366.5791678388984</v>
      </c>
      <c r="I6" s="7">
        <f>$B6 * IFERROR(VLOOKUP("electricity|SO2|Asthma symptoms cough", US_national_yearly!$D:$AM, 17, FALSE) / VLOOKUP("electricity|SO2|Asthma symptoms cough", US_national_yearly!$D:$AM, 10, FALSE), 1)</f>
        <v>366.5791678388984</v>
      </c>
      <c r="J6" s="7">
        <f>$B6 * IFERROR(VLOOKUP("electricity|SO2|Asthma symptoms cough", US_national_yearly!$D:$AM, 18, FALSE) / VLOOKUP("electricity|SO2|Asthma symptoms cough", US_national_yearly!$D:$AM, 10, FALSE), 1)</f>
        <v>366.5791678388984</v>
      </c>
      <c r="K6" s="7">
        <f>$B6 * IFERROR(VLOOKUP("electricity|SO2|Asthma symptoms cough", US_national_yearly!$D:$AM, 19, FALSE) / VLOOKUP("electricity|SO2|Asthma symptoms cough", US_national_yearly!$D:$AM, 10, FALSE), 1)</f>
        <v>366.5791678388984</v>
      </c>
      <c r="L6" s="7">
        <f>$B6 * IFERROR(VLOOKUP("electricity|SO2|Asthma symptoms cough", US_national_yearly!$D:$AM, 20, FALSE) / VLOOKUP("electricity|SO2|Asthma symptoms cough", US_national_yearly!$D:$AM, 10, FALSE), 1)</f>
        <v>366.5791678388984</v>
      </c>
      <c r="M6" s="7">
        <f>$B6 * IFERROR(VLOOKUP("electricity|SO2|Asthma symptoms cough", US_national_yearly!$D:$AM, 21, FALSE) / VLOOKUP("electricity|SO2|Asthma symptoms cough", US_national_yearly!$D:$AM, 10, FALSE), 1)</f>
        <v>366.5791678388984</v>
      </c>
      <c r="N6" s="7">
        <f>$B6 * IFERROR(VLOOKUP("electricity|SO2|Asthma symptoms cough", US_national_yearly!$D:$AM, 22, FALSE) / VLOOKUP("electricity|SO2|Asthma symptoms cough", US_national_yearly!$D:$AM, 10, FALSE), 1)</f>
        <v>366.5791678388984</v>
      </c>
      <c r="O6" s="7">
        <f>$B6 * IFERROR(VLOOKUP("electricity|SO2|Asthma symptoms cough", US_national_yearly!$D:$AM, 23, FALSE) / VLOOKUP("electricity|SO2|Asthma symptoms cough", US_national_yearly!$D:$AM, 10, FALSE), 1)</f>
        <v>366.5791678388984</v>
      </c>
      <c r="P6" s="7">
        <f>$B6 * IFERROR(VLOOKUP("electricity|SO2|Asthma symptoms cough", US_national_yearly!$D:$AM, 24, FALSE) / VLOOKUP("electricity|SO2|Asthma symptoms cough", US_national_yearly!$D:$AM, 10, FALSE), 1)</f>
        <v>366.5791678388984</v>
      </c>
      <c r="Q6" s="7">
        <f>$B6 * IFERROR(VLOOKUP("electricity|SO2|Asthma symptoms cough", US_national_yearly!$D:$AM, 25, FALSE) / VLOOKUP("electricity|SO2|Asthma symptoms cough", US_national_yearly!$D:$AM, 10, FALSE), 1)</f>
        <v>366.5791678388984</v>
      </c>
      <c r="R6" s="7">
        <f>$B6 * IFERROR(VLOOKUP("electricity|SO2|Asthma symptoms cough", US_national_yearly!$D:$AM, 26, FALSE) / VLOOKUP("electricity|SO2|Asthma symptoms cough", US_national_yearly!$D:$AM, 10, FALSE), 1)</f>
        <v>366.5791678388984</v>
      </c>
      <c r="S6" s="7">
        <f>$B6 * IFERROR(VLOOKUP("electricity|SO2|Asthma symptoms cough", US_national_yearly!$D:$AM, 27, FALSE) / VLOOKUP("electricity|SO2|Asthma symptoms cough", US_national_yearly!$D:$AM, 10, FALSE), 1)</f>
        <v>366.5791678388984</v>
      </c>
      <c r="T6" s="7">
        <f>$B6 * IFERROR(VLOOKUP("electricity|SO2|Asthma symptoms cough", US_national_yearly!$D:$AM, 28, FALSE) / VLOOKUP("electricity|SO2|Asthma symptoms cough", US_national_yearly!$D:$AM, 10, FALSE), 1)</f>
        <v>366.5791678388984</v>
      </c>
      <c r="U6" s="7">
        <f>$B6 * IFERROR(VLOOKUP("electricity|SO2|Asthma symptoms cough", US_national_yearly!$D:$AM, 29, FALSE) / VLOOKUP("electricity|SO2|Asthma symptoms cough", US_national_yearly!$D:$AM, 10, FALSE), 1)</f>
        <v>366.5791678388984</v>
      </c>
      <c r="V6" s="7">
        <f>$B6 * IFERROR(VLOOKUP("electricity|SO2|Asthma symptoms cough", US_national_yearly!$D:$AM, 30, FALSE) / VLOOKUP("electricity|SO2|Asthma symptoms cough", US_national_yearly!$D:$AM, 10, FALSE), 1)</f>
        <v>366.5791678388984</v>
      </c>
      <c r="W6" s="7">
        <f>$B6 * IFERROR(VLOOKUP("electricity|SO2|Asthma symptoms cough", US_national_yearly!$D:$AM, 31, FALSE) / VLOOKUP("electricity|SO2|Asthma symptoms cough", US_national_yearly!$D:$AM, 10, FALSE), 1)</f>
        <v>366.5791678388984</v>
      </c>
      <c r="X6" s="7">
        <f>$B6 * IFERROR(VLOOKUP("electricity|SO2|Asthma symptoms cough", US_national_yearly!$D:$AM, 32, FALSE) / VLOOKUP("electricity|SO2|Asthma symptoms cough", US_national_yearly!$D:$AM, 10, FALSE), 1)</f>
        <v>366.5791678388984</v>
      </c>
      <c r="Y6" s="7">
        <f>$B6 * IFERROR(VLOOKUP("electricity|SO2|Asthma symptoms cough", US_national_yearly!$D:$AM, 33, FALSE) / VLOOKUP("electricity|SO2|Asthma symptoms cough", US_national_yearly!$D:$AM, 10, FALSE), 1)</f>
        <v>366.5791678388984</v>
      </c>
      <c r="Z6" s="7">
        <f>$B6 * IFERROR(VLOOKUP("electricity|SO2|Asthma symptoms cough", US_national_yearly!$D:$AM, 34, FALSE) / VLOOKUP("electricity|SO2|Asthma symptoms cough", US_national_yearly!$D:$AM, 10, FALSE), 1)</f>
        <v>366.5791678388984</v>
      </c>
      <c r="AA6" s="7">
        <f>$B6 * IFERROR(VLOOKUP("electricity|SO2|Asthma symptoms cough", US_national_yearly!$D:$AM, 35, FALSE) / VLOOKUP("electricity|SO2|Asthma symptoms cough", US_national_yearly!$D:$AM, 10, FALSE), 1)</f>
        <v>366.5791678388984</v>
      </c>
      <c r="AB6" s="7">
        <f>$B6 * IFERROR(VLOOKUP("electricity|SO2|Asthma symptoms cough", US_national_yearly!$D:$AM, 36, FALSE) / VLOOKUP("electricity|SO2|Asthma symptoms cough", US_national_yearly!$D:$AM, 10, FALSE), 1)</f>
        <v>366.5791678388984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493.65280225068483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493.65280225068483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493.65280225068483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493.65280225068483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493.65280225068483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493.65280225068483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493.65280225068483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493.65280225068483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493.65280225068483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493.65280225068483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493.65280225068483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493.65280225068483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493.65280225068483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493.65280225068483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493.65280225068483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493.65280225068483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493.65280225068483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493.65280225068483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493.65280225068483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493.65280225068483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493.65280225068483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493.65280225068483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493.65280225068483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493.65280225068483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493.65280225068483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493.65280225068483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493.65280225068483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754.21550307248094</v>
      </c>
      <c r="C8" s="7">
        <f>$B8 * IFERROR(VLOOKUP("electricity|SO2|Asthma symptoms wheeze", US_national_yearly!$D:$AM, 11, FALSE) / VLOOKUP("electricity|SO2|Asthma symptoms wheeze", US_national_yearly!$D:$AM, 10, FALSE), 1)</f>
        <v>754.21550307248094</v>
      </c>
      <c r="D8" s="7">
        <f>$B8 * IFERROR(VLOOKUP("electricity|SO2|Asthma symptoms wheeze", US_national_yearly!$D:$AM, 12, FALSE) / VLOOKUP("electricity|SO2|Asthma symptoms wheeze", US_national_yearly!$D:$AM, 10, FALSE), 1)</f>
        <v>754.21550307248094</v>
      </c>
      <c r="E8" s="7">
        <f>$B8 * IFERROR(VLOOKUP("electricity|SO2|Asthma symptoms wheeze", US_national_yearly!$D:$AM, 13, FALSE) / VLOOKUP("electricity|SO2|Asthma symptoms wheeze", US_national_yearly!$D:$AM, 10, FALSE), 1)</f>
        <v>754.21550307248094</v>
      </c>
      <c r="F8" s="7">
        <f>$B8 * IFERROR(VLOOKUP("electricity|SO2|Asthma symptoms wheeze", US_national_yearly!$D:$AM, 14, FALSE) / VLOOKUP("electricity|SO2|Asthma symptoms wheeze", US_national_yearly!$D:$AM, 10, FALSE), 1)</f>
        <v>754.21550307248094</v>
      </c>
      <c r="G8" s="7">
        <f>$B8 * IFERROR(VLOOKUP("electricity|SO2|Asthma symptoms wheeze", US_national_yearly!$D:$AM, 15, FALSE) / VLOOKUP("electricity|SO2|Asthma symptoms wheeze", US_national_yearly!$D:$AM, 10, FALSE), 1)</f>
        <v>754.21550307248094</v>
      </c>
      <c r="H8" s="7">
        <f>$B8 * IFERROR(VLOOKUP("electricity|SO2|Asthma symptoms wheeze", US_national_yearly!$D:$AM, 16, FALSE) / VLOOKUP("electricity|SO2|Asthma symptoms wheeze", US_national_yearly!$D:$AM, 10, FALSE), 1)</f>
        <v>754.21550307248094</v>
      </c>
      <c r="I8" s="7">
        <f>$B8 * IFERROR(VLOOKUP("electricity|SO2|Asthma symptoms wheeze", US_national_yearly!$D:$AM, 17, FALSE) / VLOOKUP("electricity|SO2|Asthma symptoms wheeze", US_national_yearly!$D:$AM, 10, FALSE), 1)</f>
        <v>754.21550307248094</v>
      </c>
      <c r="J8" s="7">
        <f>$B8 * IFERROR(VLOOKUP("electricity|SO2|Asthma symptoms wheeze", US_national_yearly!$D:$AM, 18, FALSE) / VLOOKUP("electricity|SO2|Asthma symptoms wheeze", US_national_yearly!$D:$AM, 10, FALSE), 1)</f>
        <v>754.21550307248094</v>
      </c>
      <c r="K8" s="7">
        <f>$B8 * IFERROR(VLOOKUP("electricity|SO2|Asthma symptoms wheeze", US_national_yearly!$D:$AM, 19, FALSE) / VLOOKUP("electricity|SO2|Asthma symptoms wheeze", US_national_yearly!$D:$AM, 10, FALSE), 1)</f>
        <v>754.21550307248094</v>
      </c>
      <c r="L8" s="7">
        <f>$B8 * IFERROR(VLOOKUP("electricity|SO2|Asthma symptoms wheeze", US_national_yearly!$D:$AM, 20, FALSE) / VLOOKUP("electricity|SO2|Asthma symptoms wheeze", US_national_yearly!$D:$AM, 10, FALSE), 1)</f>
        <v>754.21550307248094</v>
      </c>
      <c r="M8" s="7">
        <f>$B8 * IFERROR(VLOOKUP("electricity|SO2|Asthma symptoms wheeze", US_national_yearly!$D:$AM, 21, FALSE) / VLOOKUP("electricity|SO2|Asthma symptoms wheeze", US_national_yearly!$D:$AM, 10, FALSE), 1)</f>
        <v>754.21550307248094</v>
      </c>
      <c r="N8" s="7">
        <f>$B8 * IFERROR(VLOOKUP("electricity|SO2|Asthma symptoms wheeze", US_national_yearly!$D:$AM, 22, FALSE) / VLOOKUP("electricity|SO2|Asthma symptoms wheeze", US_national_yearly!$D:$AM, 10, FALSE), 1)</f>
        <v>754.21550307248094</v>
      </c>
      <c r="O8" s="7">
        <f>$B8 * IFERROR(VLOOKUP("electricity|SO2|Asthma symptoms wheeze", US_national_yearly!$D:$AM, 23, FALSE) / VLOOKUP("electricity|SO2|Asthma symptoms wheeze", US_national_yearly!$D:$AM, 10, FALSE), 1)</f>
        <v>754.21550307248094</v>
      </c>
      <c r="P8" s="7">
        <f>$B8 * IFERROR(VLOOKUP("electricity|SO2|Asthma symptoms wheeze", US_national_yearly!$D:$AM, 24, FALSE) / VLOOKUP("electricity|SO2|Asthma symptoms wheeze", US_national_yearly!$D:$AM, 10, FALSE), 1)</f>
        <v>754.21550307248094</v>
      </c>
      <c r="Q8" s="7">
        <f>$B8 * IFERROR(VLOOKUP("electricity|SO2|Asthma symptoms wheeze", US_national_yearly!$D:$AM, 25, FALSE) / VLOOKUP("electricity|SO2|Asthma symptoms wheeze", US_national_yearly!$D:$AM, 10, FALSE), 1)</f>
        <v>754.21550307248094</v>
      </c>
      <c r="R8" s="7">
        <f>$B8 * IFERROR(VLOOKUP("electricity|SO2|Asthma symptoms wheeze", US_national_yearly!$D:$AM, 26, FALSE) / VLOOKUP("electricity|SO2|Asthma symptoms wheeze", US_national_yearly!$D:$AM, 10, FALSE), 1)</f>
        <v>754.21550307248094</v>
      </c>
      <c r="S8" s="7">
        <f>$B8 * IFERROR(VLOOKUP("electricity|SO2|Asthma symptoms wheeze", US_national_yearly!$D:$AM, 27, FALSE) / VLOOKUP("electricity|SO2|Asthma symptoms wheeze", US_national_yearly!$D:$AM, 10, FALSE), 1)</f>
        <v>754.21550307248094</v>
      </c>
      <c r="T8" s="7">
        <f>$B8 * IFERROR(VLOOKUP("electricity|SO2|Asthma symptoms wheeze", US_national_yearly!$D:$AM, 28, FALSE) / VLOOKUP("electricity|SO2|Asthma symptoms wheeze", US_national_yearly!$D:$AM, 10, FALSE), 1)</f>
        <v>754.21550307248094</v>
      </c>
      <c r="U8" s="7">
        <f>$B8 * IFERROR(VLOOKUP("electricity|SO2|Asthma symptoms wheeze", US_national_yearly!$D:$AM, 29, FALSE) / VLOOKUP("electricity|SO2|Asthma symptoms wheeze", US_national_yearly!$D:$AM, 10, FALSE), 1)</f>
        <v>754.21550307248094</v>
      </c>
      <c r="V8" s="7">
        <f>$B8 * IFERROR(VLOOKUP("electricity|SO2|Asthma symptoms wheeze", US_national_yearly!$D:$AM, 30, FALSE) / VLOOKUP("electricity|SO2|Asthma symptoms wheeze", US_national_yearly!$D:$AM, 10, FALSE), 1)</f>
        <v>754.21550307248094</v>
      </c>
      <c r="W8" s="7">
        <f>$B8 * IFERROR(VLOOKUP("electricity|SO2|Asthma symptoms wheeze", US_national_yearly!$D:$AM, 31, FALSE) / VLOOKUP("electricity|SO2|Asthma symptoms wheeze", US_national_yearly!$D:$AM, 10, FALSE), 1)</f>
        <v>754.21550307248094</v>
      </c>
      <c r="X8" s="7">
        <f>$B8 * IFERROR(VLOOKUP("electricity|SO2|Asthma symptoms wheeze", US_national_yearly!$D:$AM, 32, FALSE) / VLOOKUP("electricity|SO2|Asthma symptoms wheeze", US_national_yearly!$D:$AM, 10, FALSE), 1)</f>
        <v>754.21550307248094</v>
      </c>
      <c r="Y8" s="7">
        <f>$B8 * IFERROR(VLOOKUP("electricity|SO2|Asthma symptoms wheeze", US_national_yearly!$D:$AM, 33, FALSE) / VLOOKUP("electricity|SO2|Asthma symptoms wheeze", US_national_yearly!$D:$AM, 10, FALSE), 1)</f>
        <v>754.21550307248094</v>
      </c>
      <c r="Z8" s="7">
        <f>$B8 * IFERROR(VLOOKUP("electricity|SO2|Asthma symptoms wheeze", US_national_yearly!$D:$AM, 34, FALSE) / VLOOKUP("electricity|SO2|Asthma symptoms wheeze", US_national_yearly!$D:$AM, 10, FALSE), 1)</f>
        <v>754.21550307248094</v>
      </c>
      <c r="AA8" s="7">
        <f>$B8 * IFERROR(VLOOKUP("electricity|SO2|Asthma symptoms wheeze", US_national_yearly!$D:$AM, 35, FALSE) / VLOOKUP("electricity|SO2|Asthma symptoms wheeze", US_national_yearly!$D:$AM, 10, FALSE), 1)</f>
        <v>754.21550307248094</v>
      </c>
      <c r="AB8" s="7">
        <f>$B8 * IFERROR(VLOOKUP("electricity|SO2|Asthma symptoms wheeze", US_national_yearly!$D:$AM, 36, FALSE) / VLOOKUP("electricity|SO2|Asthma symptoms wheeze", US_national_yearly!$D:$AM, 10, FALSE), 1)</f>
        <v>754.21550307248094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12.821601095728141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12.89711559395089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12.97263009217364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13.048144590396387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13.123659088619137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13.205946902300722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13.288234715982311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13.367396795315763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13.446558874649217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13.525720953982672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13.604883033316124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13.68404511264958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13.740824937505124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13.797604762360672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13.854384587216218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13.911164412071765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13.967944236927313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14.021536033648028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14.075127830368745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14.128719627089458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14.182311423810177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14.235903220530894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14.287315274934459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14.338727329338029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14.3901393837416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14.441551438145165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14.492963492548736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59.067529429184873</v>
      </c>
      <c r="C13" s="7">
        <f>$B13 * IFERROR(VLOOKUP("electricity|SO2|Non-fatal heart attacks", US_national_yearly!$D:$AM, 11, FALSE) / VLOOKUP("electricity|SO2|Non-fatal heart attacks", US_national_yearly!$D:$AM, 10, FALSE), 1)</f>
        <v>60.807397148502979</v>
      </c>
      <c r="D13" s="7">
        <f>$B13 * IFERROR(VLOOKUP("electricity|SO2|Non-fatal heart attacks", US_national_yearly!$D:$AM, 12, FALSE) / VLOOKUP("electricity|SO2|Non-fatal heart attacks", US_national_yearly!$D:$AM, 10, FALSE), 1)</f>
        <v>62.547264867821056</v>
      </c>
      <c r="E13" s="7">
        <f>$B13 * IFERROR(VLOOKUP("electricity|SO2|Non-fatal heart attacks", US_national_yearly!$D:$AM, 13, FALSE) / VLOOKUP("electricity|SO2|Non-fatal heart attacks", US_national_yearly!$D:$AM, 10, FALSE), 1)</f>
        <v>64.287132587139169</v>
      </c>
      <c r="F13" s="7">
        <f>$B13 * IFERROR(VLOOKUP("electricity|SO2|Non-fatal heart attacks", US_national_yearly!$D:$AM, 14, FALSE) / VLOOKUP("electricity|SO2|Non-fatal heart attacks", US_national_yearly!$D:$AM, 10, FALSE), 1)</f>
        <v>66.027000306457253</v>
      </c>
      <c r="G13" s="7">
        <f>$B13 * IFERROR(VLOOKUP("electricity|SO2|Non-fatal heart attacks", US_national_yearly!$D:$AM, 15, FALSE) / VLOOKUP("electricity|SO2|Non-fatal heart attacks", US_national_yearly!$D:$AM, 10, FALSE), 1)</f>
        <v>67.6781869734521</v>
      </c>
      <c r="H13" s="7">
        <f>$B13 * IFERROR(VLOOKUP("electricity|SO2|Non-fatal heart attacks", US_national_yearly!$D:$AM, 16, FALSE) / VLOOKUP("electricity|SO2|Non-fatal heart attacks", US_national_yearly!$D:$AM, 10, FALSE), 1)</f>
        <v>69.329373640446974</v>
      </c>
      <c r="I13" s="7">
        <f>$B13 * IFERROR(VLOOKUP("electricity|SO2|Non-fatal heart attacks", US_national_yearly!$D:$AM, 17, FALSE) / VLOOKUP("electricity|SO2|Non-fatal heart attacks", US_national_yearly!$D:$AM, 10, FALSE), 1)</f>
        <v>70.67407618296204</v>
      </c>
      <c r="J13" s="7">
        <f>$B13 * IFERROR(VLOOKUP("electricity|SO2|Non-fatal heart attacks", US_national_yearly!$D:$AM, 18, FALSE) / VLOOKUP("electricity|SO2|Non-fatal heart attacks", US_national_yearly!$D:$AM, 10, FALSE), 1)</f>
        <v>72.018778725477091</v>
      </c>
      <c r="K13" s="7">
        <f>$B13 * IFERROR(VLOOKUP("electricity|SO2|Non-fatal heart attacks", US_national_yearly!$D:$AM, 19, FALSE) / VLOOKUP("electricity|SO2|Non-fatal heart attacks", US_national_yearly!$D:$AM, 10, FALSE), 1)</f>
        <v>73.363481267992157</v>
      </c>
      <c r="L13" s="7">
        <f>$B13 * IFERROR(VLOOKUP("electricity|SO2|Non-fatal heart attacks", US_national_yearly!$D:$AM, 20, FALSE) / VLOOKUP("electricity|SO2|Non-fatal heart attacks", US_national_yearly!$D:$AM, 10, FALSE), 1)</f>
        <v>74.708183810507222</v>
      </c>
      <c r="M13" s="7">
        <f>$B13 * IFERROR(VLOOKUP("electricity|SO2|Non-fatal heart attacks", US_national_yearly!$D:$AM, 21, FALSE) / VLOOKUP("electricity|SO2|Non-fatal heart attacks", US_national_yearly!$D:$AM, 10, FALSE), 1)</f>
        <v>76.052886353022288</v>
      </c>
      <c r="N13" s="7">
        <f>$B13 * IFERROR(VLOOKUP("electricity|SO2|Non-fatal heart attacks", US_national_yearly!$D:$AM, 22, FALSE) / VLOOKUP("electricity|SO2|Non-fatal heart attacks", US_national_yearly!$D:$AM, 10, FALSE), 1)</f>
        <v>76.939654373304279</v>
      </c>
      <c r="O13" s="7">
        <f>$B13 * IFERROR(VLOOKUP("electricity|SO2|Non-fatal heart attacks", US_national_yearly!$D:$AM, 23, FALSE) / VLOOKUP("electricity|SO2|Non-fatal heart attacks", US_national_yearly!$D:$AM, 10, FALSE), 1)</f>
        <v>77.826422393586242</v>
      </c>
      <c r="P13" s="7">
        <f>$B13 * IFERROR(VLOOKUP("electricity|SO2|Non-fatal heart attacks", US_national_yearly!$D:$AM, 24, FALSE) / VLOOKUP("electricity|SO2|Non-fatal heart attacks", US_national_yearly!$D:$AM, 10, FALSE), 1)</f>
        <v>78.713190413868233</v>
      </c>
      <c r="Q13" s="7">
        <f>$B13 * IFERROR(VLOOKUP("electricity|SO2|Non-fatal heart attacks", US_national_yearly!$D:$AM, 25, FALSE) / VLOOKUP("electricity|SO2|Non-fatal heart attacks", US_national_yearly!$D:$AM, 10, FALSE), 1)</f>
        <v>79.59995843415021</v>
      </c>
      <c r="R13" s="7">
        <f>$B13 * IFERROR(VLOOKUP("electricity|SO2|Non-fatal heart attacks", US_national_yearly!$D:$AM, 26, FALSE) / VLOOKUP("electricity|SO2|Non-fatal heart attacks", US_national_yearly!$D:$AM, 10, FALSE), 1)</f>
        <v>80.486726454432201</v>
      </c>
      <c r="S13" s="7">
        <f>$B13 * IFERROR(VLOOKUP("electricity|SO2|Non-fatal heart attacks", US_national_yearly!$D:$AM, 27, FALSE) / VLOOKUP("electricity|SO2|Non-fatal heart attacks", US_national_yearly!$D:$AM, 10, FALSE), 1)</f>
        <v>80.969284508628832</v>
      </c>
      <c r="T13" s="7">
        <f>$B13 * IFERROR(VLOOKUP("electricity|SO2|Non-fatal heart attacks", US_national_yearly!$D:$AM, 28, FALSE) / VLOOKUP("electricity|SO2|Non-fatal heart attacks", US_national_yearly!$D:$AM, 10, FALSE), 1)</f>
        <v>81.451842562825476</v>
      </c>
      <c r="U13" s="7">
        <f>$B13 * IFERROR(VLOOKUP("electricity|SO2|Non-fatal heart attacks", US_national_yearly!$D:$AM, 29, FALSE) / VLOOKUP("electricity|SO2|Non-fatal heart attacks", US_national_yearly!$D:$AM, 10, FALSE), 1)</f>
        <v>81.934400617022135</v>
      </c>
      <c r="V13" s="7">
        <f>$B13 * IFERROR(VLOOKUP("electricity|SO2|Non-fatal heart attacks", US_national_yearly!$D:$AM, 30, FALSE) / VLOOKUP("electricity|SO2|Non-fatal heart attacks", US_national_yearly!$D:$AM, 10, FALSE), 1)</f>
        <v>82.416958671218751</v>
      </c>
      <c r="W13" s="7">
        <f>$B13 * IFERROR(VLOOKUP("electricity|SO2|Non-fatal heart attacks", US_national_yearly!$D:$AM, 31, FALSE) / VLOOKUP("electricity|SO2|Non-fatal heart attacks", US_national_yearly!$D:$AM, 10, FALSE), 1)</f>
        <v>82.899516725415396</v>
      </c>
      <c r="X13" s="7">
        <f>$B13 * IFERROR(VLOOKUP("electricity|SO2|Non-fatal heart attacks", US_national_yearly!$D:$AM, 32, FALSE) / VLOOKUP("electricity|SO2|Non-fatal heart attacks", US_national_yearly!$D:$AM, 10, FALSE), 1)</f>
        <v>83.270201872136326</v>
      </c>
      <c r="Y13" s="7">
        <f>$B13 * IFERROR(VLOOKUP("electricity|SO2|Non-fatal heart attacks", US_national_yearly!$D:$AM, 33, FALSE) / VLOOKUP("electricity|SO2|Non-fatal heart attacks", US_national_yearly!$D:$AM, 10, FALSE), 1)</f>
        <v>83.640887018857271</v>
      </c>
      <c r="Z13" s="7">
        <f>$B13 * IFERROR(VLOOKUP("electricity|SO2|Non-fatal heart attacks", US_national_yearly!$D:$AM, 34, FALSE) / VLOOKUP("electricity|SO2|Non-fatal heart attacks", US_national_yearly!$D:$AM, 10, FALSE), 1)</f>
        <v>84.011572165578201</v>
      </c>
      <c r="AA13" s="7">
        <f>$B13 * IFERROR(VLOOKUP("electricity|SO2|Non-fatal heart attacks", US_national_yearly!$D:$AM, 35, FALSE) / VLOOKUP("electricity|SO2|Non-fatal heart attacks", US_national_yearly!$D:$AM, 10, FALSE), 1)</f>
        <v>84.382257312299132</v>
      </c>
      <c r="AB13" s="7">
        <f>$B13 * IFERROR(VLOOKUP("electricity|SO2|Non-fatal heart attacks", US_national_yearly!$D:$AM, 36, FALSE) / VLOOKUP("electricity|SO2|Non-fatal heart attacks", US_national_yearly!$D:$AM, 10, FALSE), 1)</f>
        <v>84.752942459020062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51857.063670689276</v>
      </c>
      <c r="C14" s="7">
        <f>$B14 * IFERROR(VLOOKUP("electricity|SO2|Minor restricted activity days", US_national_yearly!$D:$AM, 11, FALSE) / VLOOKUP("electricity|SO2|Minor restricted activity days", US_national_yearly!$D:$AM, 10, FALSE), 1)</f>
        <v>51987.377990983383</v>
      </c>
      <c r="D14" s="7">
        <f>$B14 * IFERROR(VLOOKUP("electricity|SO2|Minor restricted activity days", US_national_yearly!$D:$AM, 12, FALSE) / VLOOKUP("electricity|SO2|Minor restricted activity days", US_national_yearly!$D:$AM, 10, FALSE), 1)</f>
        <v>52117.692311277489</v>
      </c>
      <c r="E14" s="7">
        <f>$B14 * IFERROR(VLOOKUP("electricity|SO2|Minor restricted activity days", US_national_yearly!$D:$AM, 13, FALSE) / VLOOKUP("electricity|SO2|Minor restricted activity days", US_national_yearly!$D:$AM, 10, FALSE), 1)</f>
        <v>52248.006631571603</v>
      </c>
      <c r="F14" s="7">
        <f>$B14 * IFERROR(VLOOKUP("electricity|SO2|Minor restricted activity days", US_national_yearly!$D:$AM, 14, FALSE) / VLOOKUP("electricity|SO2|Minor restricted activity days", US_national_yearly!$D:$AM, 10, FALSE), 1)</f>
        <v>52378.320951865702</v>
      </c>
      <c r="G14" s="7">
        <f>$B14 * IFERROR(VLOOKUP("electricity|SO2|Minor restricted activity days", US_national_yearly!$D:$AM, 15, FALSE) / VLOOKUP("electricity|SO2|Minor restricted activity days", US_national_yearly!$D:$AM, 10, FALSE), 1)</f>
        <v>52566.59697158607</v>
      </c>
      <c r="H14" s="7">
        <f>$B14 * IFERROR(VLOOKUP("electricity|SO2|Minor restricted activity days", US_national_yearly!$D:$AM, 16, FALSE) / VLOOKUP("electricity|SO2|Minor restricted activity days", US_national_yearly!$D:$AM, 10, FALSE), 1)</f>
        <v>52754.872991306431</v>
      </c>
      <c r="I14" s="7">
        <f>$B14 * IFERROR(VLOOKUP("electricity|SO2|Minor restricted activity days", US_national_yearly!$D:$AM, 17, FALSE) / VLOOKUP("electricity|SO2|Minor restricted activity days", US_national_yearly!$D:$AM, 10, FALSE), 1)</f>
        <v>53077.780860720857</v>
      </c>
      <c r="J14" s="7">
        <f>$B14 * IFERROR(VLOOKUP("electricity|SO2|Minor restricted activity days", US_national_yearly!$D:$AM, 18, FALSE) / VLOOKUP("electricity|SO2|Minor restricted activity days", US_national_yearly!$D:$AM, 10, FALSE), 1)</f>
        <v>53400.688730135291</v>
      </c>
      <c r="K14" s="7">
        <f>$B14 * IFERROR(VLOOKUP("electricity|SO2|Minor restricted activity days", US_national_yearly!$D:$AM, 19, FALSE) / VLOOKUP("electricity|SO2|Minor restricted activity days", US_national_yearly!$D:$AM, 10, FALSE), 1)</f>
        <v>53723.596599549717</v>
      </c>
      <c r="L14" s="7">
        <f>$B14 * IFERROR(VLOOKUP("electricity|SO2|Minor restricted activity days", US_national_yearly!$D:$AM, 20, FALSE) / VLOOKUP("electricity|SO2|Minor restricted activity days", US_national_yearly!$D:$AM, 10, FALSE), 1)</f>
        <v>54046.504468964158</v>
      </c>
      <c r="M14" s="7">
        <f>$B14 * IFERROR(VLOOKUP("electricity|SO2|Minor restricted activity days", US_national_yearly!$D:$AM, 21, FALSE) / VLOOKUP("electricity|SO2|Minor restricted activity days", US_national_yearly!$D:$AM, 10, FALSE), 1)</f>
        <v>54369.412338378585</v>
      </c>
      <c r="N14" s="7">
        <f>$B14 * IFERROR(VLOOKUP("electricity|SO2|Minor restricted activity days", US_national_yearly!$D:$AM, 22, FALSE) / VLOOKUP("electricity|SO2|Minor restricted activity days", US_national_yearly!$D:$AM, 10, FALSE), 1)</f>
        <v>54814.103117778563</v>
      </c>
      <c r="O14" s="7">
        <f>$B14 * IFERROR(VLOOKUP("electricity|SO2|Minor restricted activity days", US_national_yearly!$D:$AM, 23, FALSE) / VLOOKUP("electricity|SO2|Minor restricted activity days", US_national_yearly!$D:$AM, 10, FALSE), 1)</f>
        <v>55258.793897178533</v>
      </c>
      <c r="P14" s="7">
        <f>$B14 * IFERROR(VLOOKUP("electricity|SO2|Minor restricted activity days", US_national_yearly!$D:$AM, 24, FALSE) / VLOOKUP("electricity|SO2|Minor restricted activity days", US_national_yearly!$D:$AM, 10, FALSE), 1)</f>
        <v>55703.484676578497</v>
      </c>
      <c r="Q14" s="7">
        <f>$B14 * IFERROR(VLOOKUP("electricity|SO2|Minor restricted activity days", US_national_yearly!$D:$AM, 25, FALSE) / VLOOKUP("electricity|SO2|Minor restricted activity days", US_national_yearly!$D:$AM, 10, FALSE), 1)</f>
        <v>56148.175455978475</v>
      </c>
      <c r="R14" s="7">
        <f>$B14 * IFERROR(VLOOKUP("electricity|SO2|Minor restricted activity days", US_national_yearly!$D:$AM, 26, FALSE) / VLOOKUP("electricity|SO2|Minor restricted activity days", US_national_yearly!$D:$AM, 10, FALSE), 1)</f>
        <v>56592.866235378446</v>
      </c>
      <c r="S14" s="7">
        <f>$B14 * IFERROR(VLOOKUP("electricity|SO2|Minor restricted activity days", US_national_yearly!$D:$AM, 27, FALSE) / VLOOKUP("electricity|SO2|Minor restricted activity days", US_national_yearly!$D:$AM, 10, FALSE), 1)</f>
        <v>57048.744393590074</v>
      </c>
      <c r="T14" s="7">
        <f>$B14 * IFERROR(VLOOKUP("electricity|SO2|Minor restricted activity days", US_national_yearly!$D:$AM, 28, FALSE) / VLOOKUP("electricity|SO2|Minor restricted activity days", US_national_yearly!$D:$AM, 10, FALSE), 1)</f>
        <v>57504.622551801709</v>
      </c>
      <c r="U14" s="7">
        <f>$B14 * IFERROR(VLOOKUP("electricity|SO2|Minor restricted activity days", US_national_yearly!$D:$AM, 29, FALSE) / VLOOKUP("electricity|SO2|Minor restricted activity days", US_national_yearly!$D:$AM, 10, FALSE), 1)</f>
        <v>57960.500710013323</v>
      </c>
      <c r="V14" s="7">
        <f>$B14 * IFERROR(VLOOKUP("electricity|SO2|Minor restricted activity days", US_national_yearly!$D:$AM, 30, FALSE) / VLOOKUP("electricity|SO2|Minor restricted activity days", US_national_yearly!$D:$AM, 10, FALSE), 1)</f>
        <v>58416.378868224958</v>
      </c>
      <c r="W14" s="7">
        <f>$B14 * IFERROR(VLOOKUP("electricity|SO2|Minor restricted activity days", US_national_yearly!$D:$AM, 31, FALSE) / VLOOKUP("electricity|SO2|Minor restricted activity days", US_national_yearly!$D:$AM, 10, FALSE), 1)</f>
        <v>58872.257026436586</v>
      </c>
      <c r="X14" s="7">
        <f>$B14 * IFERROR(VLOOKUP("electricity|SO2|Minor restricted activity days", US_national_yearly!$D:$AM, 32, FALSE) / VLOOKUP("electricity|SO2|Minor restricted activity days", US_national_yearly!$D:$AM, 10, FALSE), 1)</f>
        <v>59273.379842583345</v>
      </c>
      <c r="Y14" s="7">
        <f>$B14 * IFERROR(VLOOKUP("electricity|SO2|Minor restricted activity days", US_national_yearly!$D:$AM, 33, FALSE) / VLOOKUP("electricity|SO2|Minor restricted activity days", US_national_yearly!$D:$AM, 10, FALSE), 1)</f>
        <v>59674.502658730096</v>
      </c>
      <c r="Z14" s="7">
        <f>$B14 * IFERROR(VLOOKUP("electricity|SO2|Minor restricted activity days", US_national_yearly!$D:$AM, 34, FALSE) / VLOOKUP("electricity|SO2|Minor restricted activity days", US_national_yearly!$D:$AM, 10, FALSE), 1)</f>
        <v>60075.625474876848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60476.748291023614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60877.871107170366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8651.5447545717034</v>
      </c>
      <c r="C15" s="7">
        <f>$B15 * IFERROR(VLOOKUP("electricity|SO2|Work loss days", US_national_yearly!$D:$AM, 11, FALSE) / VLOOKUP("electricity|SO2|Work loss days", US_national_yearly!$D:$AM, 10, FALSE), 1)</f>
        <v>8679.5587181371629</v>
      </c>
      <c r="D15" s="7">
        <f>$B15 * IFERROR(VLOOKUP("electricity|SO2|Work loss days", US_national_yearly!$D:$AM, 12, FALSE) / VLOOKUP("electricity|SO2|Work loss days", US_national_yearly!$D:$AM, 10, FALSE), 1)</f>
        <v>8707.5726817026225</v>
      </c>
      <c r="E15" s="7">
        <f>$B15 * IFERROR(VLOOKUP("electricity|SO2|Work loss days", US_national_yearly!$D:$AM, 13, FALSE) / VLOOKUP("electricity|SO2|Work loss days", US_national_yearly!$D:$AM, 10, FALSE), 1)</f>
        <v>8735.5866452680839</v>
      </c>
      <c r="F15" s="7">
        <f>$B15 * IFERROR(VLOOKUP("electricity|SO2|Work loss days", US_national_yearly!$D:$AM, 14, FALSE) / VLOOKUP("electricity|SO2|Work loss days", US_national_yearly!$D:$AM, 10, FALSE), 1)</f>
        <v>8763.6006088335434</v>
      </c>
      <c r="G15" s="7">
        <f>$B15 * IFERROR(VLOOKUP("electricity|SO2|Work loss days", US_national_yearly!$D:$AM, 15, FALSE) / VLOOKUP("electricity|SO2|Work loss days", US_national_yearly!$D:$AM, 10, FALSE), 1)</f>
        <v>8799.4882320166926</v>
      </c>
      <c r="H15" s="7">
        <f>$B15 * IFERROR(VLOOKUP("electricity|SO2|Work loss days", US_national_yearly!$D:$AM, 16, FALSE) / VLOOKUP("electricity|SO2|Work loss days", US_national_yearly!$D:$AM, 10, FALSE), 1)</f>
        <v>8835.3758551998417</v>
      </c>
      <c r="I15" s="7">
        <f>$B15 * IFERROR(VLOOKUP("electricity|SO2|Work loss days", US_national_yearly!$D:$AM, 17, FALSE) / VLOOKUP("electricity|SO2|Work loss days", US_national_yearly!$D:$AM, 10, FALSE), 1)</f>
        <v>8887.8836693441281</v>
      </c>
      <c r="J15" s="7">
        <f>$B15 * IFERROR(VLOOKUP("electricity|SO2|Work loss days", US_national_yearly!$D:$AM, 18, FALSE) / VLOOKUP("electricity|SO2|Work loss days", US_national_yearly!$D:$AM, 10, FALSE), 1)</f>
        <v>8940.3914834884126</v>
      </c>
      <c r="K15" s="7">
        <f>$B15 * IFERROR(VLOOKUP("electricity|SO2|Work loss days", US_national_yearly!$D:$AM, 19, FALSE) / VLOOKUP("electricity|SO2|Work loss days", US_national_yearly!$D:$AM, 10, FALSE), 1)</f>
        <v>8992.8992976327008</v>
      </c>
      <c r="L15" s="7">
        <f>$B15 * IFERROR(VLOOKUP("electricity|SO2|Work loss days", US_national_yearly!$D:$AM, 20, FALSE) / VLOOKUP("electricity|SO2|Work loss days", US_national_yearly!$D:$AM, 10, FALSE), 1)</f>
        <v>9045.4071117769854</v>
      </c>
      <c r="M15" s="7">
        <f>$B15 * IFERROR(VLOOKUP("electricity|SO2|Work loss days", US_national_yearly!$D:$AM, 21, FALSE) / VLOOKUP("electricity|SO2|Work loss days", US_national_yearly!$D:$AM, 10, FALSE), 1)</f>
        <v>9097.9149259212736</v>
      </c>
      <c r="N15" s="7">
        <f>$B15 * IFERROR(VLOOKUP("electricity|SO2|Work loss days", US_national_yearly!$D:$AM, 22, FALSE) / VLOOKUP("electricity|SO2|Work loss days", US_national_yearly!$D:$AM, 10, FALSE), 1)</f>
        <v>9164.350369204778</v>
      </c>
      <c r="O15" s="7">
        <f>$B15 * IFERROR(VLOOKUP("electricity|SO2|Work loss days", US_national_yearly!$D:$AM, 23, FALSE) / VLOOKUP("electricity|SO2|Work loss days", US_national_yearly!$D:$AM, 10, FALSE), 1)</f>
        <v>9230.785812488286</v>
      </c>
      <c r="P15" s="7">
        <f>$B15 * IFERROR(VLOOKUP("electricity|SO2|Work loss days", US_national_yearly!$D:$AM, 24, FALSE) / VLOOKUP("electricity|SO2|Work loss days", US_national_yearly!$D:$AM, 10, FALSE), 1)</f>
        <v>9297.2212557717921</v>
      </c>
      <c r="Q15" s="7">
        <f>$B15 * IFERROR(VLOOKUP("electricity|SO2|Work loss days", US_national_yearly!$D:$AM, 25, FALSE) / VLOOKUP("electricity|SO2|Work loss days", US_national_yearly!$D:$AM, 10, FALSE), 1)</f>
        <v>9363.6566990552983</v>
      </c>
      <c r="R15" s="7">
        <f>$B15 * IFERROR(VLOOKUP("electricity|SO2|Work loss days", US_national_yearly!$D:$AM, 26, FALSE) / VLOOKUP("electricity|SO2|Work loss days", US_national_yearly!$D:$AM, 10, FALSE), 1)</f>
        <v>9430.0921423388045</v>
      </c>
      <c r="S15" s="7">
        <f>$B15 * IFERROR(VLOOKUP("electricity|SO2|Work loss days", US_national_yearly!$D:$AM, 27, FALSE) / VLOOKUP("electricity|SO2|Work loss days", US_national_yearly!$D:$AM, 10, FALSE), 1)</f>
        <v>9504.5724738200806</v>
      </c>
      <c r="T15" s="7">
        <f>$B15 * IFERROR(VLOOKUP("electricity|SO2|Work loss days", US_national_yearly!$D:$AM, 28, FALSE) / VLOOKUP("electricity|SO2|Work loss days", US_national_yearly!$D:$AM, 10, FALSE), 1)</f>
        <v>9579.0528053013586</v>
      </c>
      <c r="U15" s="7">
        <f>$B15 * IFERROR(VLOOKUP("electricity|SO2|Work loss days", US_national_yearly!$D:$AM, 29, FALSE) / VLOOKUP("electricity|SO2|Work loss days", US_national_yearly!$D:$AM, 10, FALSE), 1)</f>
        <v>9653.5331367826384</v>
      </c>
      <c r="V15" s="7">
        <f>$B15 * IFERROR(VLOOKUP("electricity|SO2|Work loss days", US_national_yearly!$D:$AM, 30, FALSE) / VLOOKUP("electricity|SO2|Work loss days", US_national_yearly!$D:$AM, 10, FALSE), 1)</f>
        <v>9728.0134682639164</v>
      </c>
      <c r="W15" s="7">
        <f>$B15 * IFERROR(VLOOKUP("electricity|SO2|Work loss days", US_national_yearly!$D:$AM, 31, FALSE) / VLOOKUP("electricity|SO2|Work loss days", US_national_yearly!$D:$AM, 10, FALSE), 1)</f>
        <v>9802.4937997451943</v>
      </c>
      <c r="X15" s="7">
        <f>$B15 * IFERROR(VLOOKUP("electricity|SO2|Work loss days", US_national_yearly!$D:$AM, 32, FALSE) / VLOOKUP("electricity|SO2|Work loss days", US_national_yearly!$D:$AM, 10, FALSE), 1)</f>
        <v>9869.5932118675701</v>
      </c>
      <c r="Y15" s="7">
        <f>$B15 * IFERROR(VLOOKUP("electricity|SO2|Work loss days", US_national_yearly!$D:$AM, 33, FALSE) / VLOOKUP("electricity|SO2|Work loss days", US_national_yearly!$D:$AM, 10, FALSE), 1)</f>
        <v>9936.692623989944</v>
      </c>
      <c r="Z15" s="7">
        <f>$B15 * IFERROR(VLOOKUP("electricity|SO2|Work loss days", US_national_yearly!$D:$AM, 34, FALSE) / VLOOKUP("electricity|SO2|Work loss days", US_national_yearly!$D:$AM, 10, FALSE), 1)</f>
        <v>10003.792036112318</v>
      </c>
      <c r="AA15" s="7">
        <f>$B15 * IFERROR(VLOOKUP("electricity|SO2|Work loss days", US_national_yearly!$D:$AM, 35, FALSE) / VLOOKUP("electricity|SO2|Work loss days", US_national_yearly!$D:$AM, 10, FALSE), 1)</f>
        <v>10070.891448234692</v>
      </c>
      <c r="AB15" s="7">
        <f>$B15 * IFERROR(VLOOKUP("electricity|SO2|Work loss days", US_national_yearly!$D:$AM, 36, FALSE) / VLOOKUP("electricity|SO2|Work loss days", US_national_yearly!$D:$AM, 10, FALSE), 1)</f>
        <v>10137.990860357068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12.475223513733619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12.853257465100587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13.231291416467553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13.609325367834522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13.98735931920149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14.351759959410032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14.716160599618576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15.031637006646768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15.347113413674961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15.662589820703154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15.978066227731343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16.293542634759536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16.508854441459462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16.724166248159388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16.939478054859318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17.154789861559244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17.370101668259171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17.488139545068233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17.606177421877295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17.72421529868636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17.842253175495422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17.960291052304481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18.041771161083645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18.123251269862802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18.204731378641959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18.28621148742112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18.367691596200281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5.0463575787476926E-3</v>
      </c>
      <c r="C2" s="7">
        <f>$B2 * IFERROR(VLOOKUP("buildings|PM25|Premature mortality", US_national_yearly!$D:$AM, 11, FALSE) / VLOOKUP("buildings|PM25|Premature mortality", US_national_yearly!$D:$AM, 10, FALSE), 1)</f>
        <v>5.1089666694962158E-3</v>
      </c>
      <c r="D2" s="7">
        <f>$B2 * IFERROR(VLOOKUP("buildings|PM25|Premature mortality", US_national_yearly!$D:$AM, 12, FALSE) / VLOOKUP("buildings|PM25|Premature mortality", US_national_yearly!$D:$AM, 10, FALSE), 1)</f>
        <v>5.171575760244739E-3</v>
      </c>
      <c r="E2" s="7">
        <f>$B2 * IFERROR(VLOOKUP("buildings|PM25|Premature mortality", US_national_yearly!$D:$AM, 13, FALSE) / VLOOKUP("buildings|PM25|Premature mortality", US_national_yearly!$D:$AM, 10, FALSE), 1)</f>
        <v>5.2341848509932613E-3</v>
      </c>
      <c r="F2" s="7">
        <f>$B2 * IFERROR(VLOOKUP("buildings|PM25|Premature mortality", US_national_yearly!$D:$AM, 14, FALSE) / VLOOKUP("buildings|PM25|Premature mortality", US_national_yearly!$D:$AM, 10, FALSE), 1)</f>
        <v>5.2967939417417845E-3</v>
      </c>
      <c r="G2" s="7">
        <f>$B2 * IFERROR(VLOOKUP("buildings|PM25|Premature mortality", US_national_yearly!$D:$AM, 15, FALSE) / VLOOKUP("buildings|PM25|Premature mortality", US_national_yearly!$D:$AM, 10, FALSE), 1)</f>
        <v>5.4187066807428221E-3</v>
      </c>
      <c r="H2" s="7">
        <f>$B2 * IFERROR(VLOOKUP("buildings|PM25|Premature mortality", US_national_yearly!$D:$AM, 16, FALSE) / VLOOKUP("buildings|PM25|Premature mortality", US_national_yearly!$D:$AM, 10, FALSE), 1)</f>
        <v>5.5406194197438587E-3</v>
      </c>
      <c r="I2" s="7">
        <f>$B2 * IFERROR(VLOOKUP("buildings|PM25|Premature mortality", US_national_yearly!$D:$AM, 17, FALSE) / VLOOKUP("buildings|PM25|Premature mortality", US_national_yearly!$D:$AM, 10, FALSE), 1)</f>
        <v>5.6207993283554922E-3</v>
      </c>
      <c r="J2" s="7">
        <f>$B2 * IFERROR(VLOOKUP("buildings|PM25|Premature mortality", US_national_yearly!$D:$AM, 18, FALSE) / VLOOKUP("buildings|PM25|Premature mortality", US_national_yearly!$D:$AM, 10, FALSE), 1)</f>
        <v>5.7009792369671249E-3</v>
      </c>
      <c r="K2" s="7">
        <f>$B2 * IFERROR(VLOOKUP("buildings|PM25|Premature mortality", US_national_yearly!$D:$AM, 19, FALSE) / VLOOKUP("buildings|PM25|Premature mortality", US_national_yearly!$D:$AM, 10, FALSE), 1)</f>
        <v>5.7811591455787584E-3</v>
      </c>
      <c r="L2" s="7">
        <f>$B2 * IFERROR(VLOOKUP("buildings|PM25|Premature mortality", US_national_yearly!$D:$AM, 20, FALSE) / VLOOKUP("buildings|PM25|Premature mortality", US_national_yearly!$D:$AM, 10, FALSE), 1)</f>
        <v>5.8613390541903919E-3</v>
      </c>
      <c r="M2" s="7">
        <f>$B2 * IFERROR(VLOOKUP("buildings|PM25|Premature mortality", US_national_yearly!$D:$AM, 21, FALSE) / VLOOKUP("buildings|PM25|Premature mortality", US_national_yearly!$D:$AM, 10, FALSE), 1)</f>
        <v>5.9415189628020245E-3</v>
      </c>
      <c r="N2" s="7">
        <f>$B2 * IFERROR(VLOOKUP("buildings|PM25|Premature mortality", US_national_yearly!$D:$AM, 22, FALSE) / VLOOKUP("buildings|PM25|Premature mortality", US_national_yearly!$D:$AM, 10, FALSE), 1)</f>
        <v>6.0038677530879127E-3</v>
      </c>
      <c r="O2" s="7">
        <f>$B2 * IFERROR(VLOOKUP("buildings|PM25|Premature mortality", US_national_yearly!$D:$AM, 23, FALSE) / VLOOKUP("buildings|PM25|Premature mortality", US_national_yearly!$D:$AM, 10, FALSE), 1)</f>
        <v>6.0662165433738018E-3</v>
      </c>
      <c r="P2" s="7">
        <f>$B2 * IFERROR(VLOOKUP("buildings|PM25|Premature mortality", US_national_yearly!$D:$AM, 24, FALSE) / VLOOKUP("buildings|PM25|Premature mortality", US_national_yearly!$D:$AM, 10, FALSE), 1)</f>
        <v>6.12856533365969E-3</v>
      </c>
      <c r="Q2" s="7">
        <f>$B2 * IFERROR(VLOOKUP("buildings|PM25|Premature mortality", US_national_yearly!$D:$AM, 25, FALSE) / VLOOKUP("buildings|PM25|Premature mortality", US_national_yearly!$D:$AM, 10, FALSE), 1)</f>
        <v>6.1909141239455808E-3</v>
      </c>
      <c r="R2" s="7">
        <f>$B2 * IFERROR(VLOOKUP("buildings|PM25|Premature mortality", US_national_yearly!$D:$AM, 26, FALSE) / VLOOKUP("buildings|PM25|Premature mortality", US_national_yearly!$D:$AM, 10, FALSE), 1)</f>
        <v>6.2532629142314691E-3</v>
      </c>
      <c r="S2" s="7">
        <f>$B2 * IFERROR(VLOOKUP("buildings|PM25|Premature mortality", US_national_yearly!$D:$AM, 27, FALSE) / VLOOKUP("buildings|PM25|Premature mortality", US_national_yearly!$D:$AM, 10, FALSE), 1)</f>
        <v>6.286401915571331E-3</v>
      </c>
      <c r="T2" s="7">
        <f>$B2 * IFERROR(VLOOKUP("buildings|PM25|Premature mortality", US_national_yearly!$D:$AM, 28, FALSE) / VLOOKUP("buildings|PM25|Premature mortality", US_national_yearly!$D:$AM, 10, FALSE), 1)</f>
        <v>6.3195409169111948E-3</v>
      </c>
      <c r="U2" s="7">
        <f>$B2 * IFERROR(VLOOKUP("buildings|PM25|Premature mortality", US_national_yearly!$D:$AM, 29, FALSE) / VLOOKUP("buildings|PM25|Premature mortality", US_national_yearly!$D:$AM, 10, FALSE), 1)</f>
        <v>6.3526799182510576E-3</v>
      </c>
      <c r="V2" s="7">
        <f>$B2 * IFERROR(VLOOKUP("buildings|PM25|Premature mortality", US_national_yearly!$D:$AM, 30, FALSE) / VLOOKUP("buildings|PM25|Premature mortality", US_national_yearly!$D:$AM, 10, FALSE), 1)</f>
        <v>6.3858189195909213E-3</v>
      </c>
      <c r="W2" s="7">
        <f>$B2 * IFERROR(VLOOKUP("buildings|PM25|Premature mortality", US_national_yearly!$D:$AM, 31, FALSE) / VLOOKUP("buildings|PM25|Premature mortality", US_national_yearly!$D:$AM, 10, FALSE), 1)</f>
        <v>6.4189579209307833E-3</v>
      </c>
      <c r="X2" s="7">
        <f>$B2 * IFERROR(VLOOKUP("buildings|PM25|Premature mortality", US_national_yearly!$D:$AM, 32, FALSE) / VLOOKUP("buildings|PM25|Premature mortality", US_national_yearly!$D:$AM, 10, FALSE), 1)</f>
        <v>6.4249061056259084E-3</v>
      </c>
      <c r="Y2" s="7">
        <f>$B2 * IFERROR(VLOOKUP("buildings|PM25|Premature mortality", US_national_yearly!$D:$AM, 33, FALSE) / VLOOKUP("buildings|PM25|Premature mortality", US_national_yearly!$D:$AM, 10, FALSE), 1)</f>
        <v>6.4308542903210317E-3</v>
      </c>
      <c r="Z2" s="7">
        <f>$B2 * IFERROR(VLOOKUP("buildings|PM25|Premature mortality", US_national_yearly!$D:$AM, 34, FALSE) / VLOOKUP("buildings|PM25|Premature mortality", US_national_yearly!$D:$AM, 10, FALSE), 1)</f>
        <v>6.4368024750161568E-3</v>
      </c>
      <c r="AA2" s="7">
        <f>$B2 * IFERROR(VLOOKUP("buildings|PM25|Premature mortality", US_national_yearly!$D:$AM, 35, FALSE) / VLOOKUP("buildings|PM25|Premature mortality", US_national_yearly!$D:$AM, 10, FALSE), 1)</f>
        <v>6.442750659711281E-3</v>
      </c>
      <c r="AB2" s="7">
        <f>$B2 * IFERROR(VLOOKUP("buildings|PM25|Premature mortality", US_national_yearly!$D:$AM, 36, FALSE) / VLOOKUP("buildings|PM25|Premature mortality", US_national_yearly!$D:$AM, 10, FALSE), 1)</f>
        <v>6.4486988444064051E-3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5.9896720970980842E-6</v>
      </c>
      <c r="C3" s="7">
        <f>$B3 * IFERROR(VLOOKUP("buildings|PM25|Infant mortality", US_national_yearly!$D:$AM, 11, FALSE) / VLOOKUP("buildings|PM25|Infant mortality", US_national_yearly!$D:$AM, 10, FALSE), 1)</f>
        <v>5.9377918475335315E-6</v>
      </c>
      <c r="D3" s="7">
        <f>$B3 * IFERROR(VLOOKUP("buildings|PM25|Infant mortality", US_national_yearly!$D:$AM, 12, FALSE) / VLOOKUP("buildings|PM25|Infant mortality", US_national_yearly!$D:$AM, 10, FALSE), 1)</f>
        <v>5.8859115979689789E-6</v>
      </c>
      <c r="E3" s="7">
        <f>$B3 * IFERROR(VLOOKUP("buildings|PM25|Infant mortality", US_national_yearly!$D:$AM, 13, FALSE) / VLOOKUP("buildings|PM25|Infant mortality", US_national_yearly!$D:$AM, 10, FALSE), 1)</f>
        <v>5.8340313484044254E-6</v>
      </c>
      <c r="F3" s="7">
        <f>$B3 * IFERROR(VLOOKUP("buildings|PM25|Infant mortality", US_national_yearly!$D:$AM, 14, FALSE) / VLOOKUP("buildings|PM25|Infant mortality", US_national_yearly!$D:$AM, 10, FALSE), 1)</f>
        <v>5.7821510988398736E-6</v>
      </c>
      <c r="G3" s="7">
        <f>$B3 * IFERROR(VLOOKUP("buildings|PM25|Infant mortality", US_national_yearly!$D:$AM, 15, FALSE) / VLOOKUP("buildings|PM25|Infant mortality", US_national_yearly!$D:$AM, 10, FALSE), 1)</f>
        <v>3.8449207090556398E-6</v>
      </c>
      <c r="H3" s="7">
        <f>$B3 * IFERROR(VLOOKUP("buildings|PM25|Infant mortality", US_national_yearly!$D:$AM, 16, FALSE) / VLOOKUP("buildings|PM25|Infant mortality", US_national_yearly!$D:$AM, 10, FALSE), 1)</f>
        <v>1.9076903192714072E-6</v>
      </c>
      <c r="I3" s="7">
        <f>$B3 * IFERROR(VLOOKUP("buildings|PM25|Infant mortality", US_national_yearly!$D:$AM, 17, FALSE) / VLOOKUP("buildings|PM25|Infant mortality", US_national_yearly!$D:$AM, 10, FALSE), 1)</f>
        <v>1.8952590353330149E-6</v>
      </c>
      <c r="J3" s="7">
        <f>$B3 * IFERROR(VLOOKUP("buildings|PM25|Infant mortality", US_national_yearly!$D:$AM, 18, FALSE) / VLOOKUP("buildings|PM25|Infant mortality", US_national_yearly!$D:$AM, 10, FALSE), 1)</f>
        <v>1.8828277513946227E-6</v>
      </c>
      <c r="K3" s="7">
        <f>$B3 * IFERROR(VLOOKUP("buildings|PM25|Infant mortality", US_national_yearly!$D:$AM, 19, FALSE) / VLOOKUP("buildings|PM25|Infant mortality", US_national_yearly!$D:$AM, 10, FALSE), 1)</f>
        <v>1.8703964674562305E-6</v>
      </c>
      <c r="L3" s="7">
        <f>$B3 * IFERROR(VLOOKUP("buildings|PM25|Infant mortality", US_national_yearly!$D:$AM, 20, FALSE) / VLOOKUP("buildings|PM25|Infant mortality", US_national_yearly!$D:$AM, 10, FALSE), 1)</f>
        <v>1.8579651835178381E-6</v>
      </c>
      <c r="M3" s="7">
        <f>$B3 * IFERROR(VLOOKUP("buildings|PM25|Infant mortality", US_national_yearly!$D:$AM, 21, FALSE) / VLOOKUP("buildings|PM25|Infant mortality", US_national_yearly!$D:$AM, 10, FALSE), 1)</f>
        <v>1.8455338995794459E-6</v>
      </c>
      <c r="N3" s="7">
        <f>$B3 * IFERROR(VLOOKUP("buildings|PM25|Infant mortality", US_national_yearly!$D:$AM, 22, FALSE) / VLOOKUP("buildings|PM25|Infant mortality", US_national_yearly!$D:$AM, 10, FALSE), 1)</f>
        <v>1.8377556985696413E-6</v>
      </c>
      <c r="O3" s="7">
        <f>$B3 * IFERROR(VLOOKUP("buildings|PM25|Infant mortality", US_national_yearly!$D:$AM, 23, FALSE) / VLOOKUP("buildings|PM25|Infant mortality", US_national_yearly!$D:$AM, 10, FALSE), 1)</f>
        <v>1.829977497559837E-6</v>
      </c>
      <c r="P3" s="7">
        <f>$B3 * IFERROR(VLOOKUP("buildings|PM25|Infant mortality", US_national_yearly!$D:$AM, 24, FALSE) / VLOOKUP("buildings|PM25|Infant mortality", US_national_yearly!$D:$AM, 10, FALSE), 1)</f>
        <v>1.8221992965500326E-6</v>
      </c>
      <c r="Q3" s="7">
        <f>$B3 * IFERROR(VLOOKUP("buildings|PM25|Infant mortality", US_national_yearly!$D:$AM, 25, FALSE) / VLOOKUP("buildings|PM25|Infant mortality", US_national_yearly!$D:$AM, 10, FALSE), 1)</f>
        <v>1.814421095540228E-6</v>
      </c>
      <c r="R3" s="7">
        <f>$B3 * IFERROR(VLOOKUP("buildings|PM25|Infant mortality", US_national_yearly!$D:$AM, 26, FALSE) / VLOOKUP("buildings|PM25|Infant mortality", US_national_yearly!$D:$AM, 10, FALSE), 1)</f>
        <v>1.8066428945304236E-6</v>
      </c>
      <c r="S3" s="7">
        <f>$B3 * IFERROR(VLOOKUP("buildings|PM25|Infant mortality", US_national_yearly!$D:$AM, 27, FALSE) / VLOOKUP("buildings|PM25|Infant mortality", US_national_yearly!$D:$AM, 10, FALSE), 1)</f>
        <v>1.7969312757204991E-6</v>
      </c>
      <c r="T3" s="7">
        <f>$B3 * IFERROR(VLOOKUP("buildings|PM25|Infant mortality", US_national_yearly!$D:$AM, 28, FALSE) / VLOOKUP("buildings|PM25|Infant mortality", US_national_yearly!$D:$AM, 10, FALSE), 1)</f>
        <v>1.787219656910575E-6</v>
      </c>
      <c r="U3" s="7">
        <f>$B3 * IFERROR(VLOOKUP("buildings|PM25|Infant mortality", US_national_yearly!$D:$AM, 29, FALSE) / VLOOKUP("buildings|PM25|Infant mortality", US_national_yearly!$D:$AM, 10, FALSE), 1)</f>
        <v>1.7775080381006502E-6</v>
      </c>
      <c r="V3" s="7">
        <f>$B3 * IFERROR(VLOOKUP("buildings|PM25|Infant mortality", US_national_yearly!$D:$AM, 30, FALSE) / VLOOKUP("buildings|PM25|Infant mortality", US_national_yearly!$D:$AM, 10, FALSE), 1)</f>
        <v>1.7677964192907261E-6</v>
      </c>
      <c r="W3" s="7">
        <f>$B3 * IFERROR(VLOOKUP("buildings|PM25|Infant mortality", US_national_yearly!$D:$AM, 31, FALSE) / VLOOKUP("buildings|PM25|Infant mortality", US_national_yearly!$D:$AM, 10, FALSE), 1)</f>
        <v>1.7580848004808016E-6</v>
      </c>
      <c r="X3" s="7">
        <f>$B3 * IFERROR(VLOOKUP("buildings|PM25|Infant mortality", US_national_yearly!$D:$AM, 32, FALSE) / VLOOKUP("buildings|PM25|Infant mortality", US_national_yearly!$D:$AM, 10, FALSE), 1)</f>
        <v>1.7476289924237707E-6</v>
      </c>
      <c r="Y3" s="7">
        <f>$B3 * IFERROR(VLOOKUP("buildings|PM25|Infant mortality", US_national_yearly!$D:$AM, 33, FALSE) / VLOOKUP("buildings|PM25|Infant mortality", US_national_yearly!$D:$AM, 10, FALSE), 1)</f>
        <v>1.7371731843667401E-6</v>
      </c>
      <c r="Z3" s="7">
        <f>$B3 * IFERROR(VLOOKUP("buildings|PM25|Infant mortality", US_national_yearly!$D:$AM, 34, FALSE) / VLOOKUP("buildings|PM25|Infant mortality", US_national_yearly!$D:$AM, 10, FALSE), 1)</f>
        <v>1.726717376309709E-6</v>
      </c>
      <c r="AA3" s="7">
        <f>$B3 * IFERROR(VLOOKUP("buildings|PM25|Infant mortality", US_national_yearly!$D:$AM, 35, FALSE) / VLOOKUP("buildings|PM25|Infant mortality", US_national_yearly!$D:$AM, 10, FALSE), 1)</f>
        <v>1.7162615682526779E-6</v>
      </c>
      <c r="AB3" s="7">
        <f>$B3 * IFERROR(VLOOKUP("buildings|PM25|Infant mortality", US_national_yearly!$D:$AM, 36, FALSE) / VLOOKUP("buildings|PM25|Infant mortality", US_national_yearly!$D:$AM, 10, FALSE), 1)</f>
        <v>1.7058057601956472E-6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9.4927034181332103E-3</v>
      </c>
      <c r="C6" s="7">
        <f>$B6 * IFERROR(VLOOKUP("buildings|PM25|Asthma symptoms cough", US_national_yearly!$D:$AM, 11, FALSE) / VLOOKUP("buildings|PM25|Asthma symptoms cough", US_national_yearly!$D:$AM, 10, FALSE), 1)</f>
        <v>9.4927034181332103E-3</v>
      </c>
      <c r="D6" s="7">
        <f>$B6 * IFERROR(VLOOKUP("buildings|PM25|Asthma symptoms cough", US_national_yearly!$D:$AM, 12, FALSE) / VLOOKUP("buildings|PM25|Asthma symptoms cough", US_national_yearly!$D:$AM, 10, FALSE), 1)</f>
        <v>9.4927034181332103E-3</v>
      </c>
      <c r="E6" s="7">
        <f>$B6 * IFERROR(VLOOKUP("buildings|PM25|Asthma symptoms cough", US_national_yearly!$D:$AM, 13, FALSE) / VLOOKUP("buildings|PM25|Asthma symptoms cough", US_national_yearly!$D:$AM, 10, FALSE), 1)</f>
        <v>9.4927034181332103E-3</v>
      </c>
      <c r="F6" s="7">
        <f>$B6 * IFERROR(VLOOKUP("buildings|PM25|Asthma symptoms cough", US_national_yearly!$D:$AM, 14, FALSE) / VLOOKUP("buildings|PM25|Asthma symptoms cough", US_national_yearly!$D:$AM, 10, FALSE), 1)</f>
        <v>9.4927034181332103E-3</v>
      </c>
      <c r="G6" s="7">
        <f>$B6 * IFERROR(VLOOKUP("buildings|PM25|Asthma symptoms cough", US_national_yearly!$D:$AM, 15, FALSE) / VLOOKUP("buildings|PM25|Asthma symptoms cough", US_national_yearly!$D:$AM, 10, FALSE), 1)</f>
        <v>9.4927034181332103E-3</v>
      </c>
      <c r="H6" s="7">
        <f>$B6 * IFERROR(VLOOKUP("buildings|PM25|Asthma symptoms cough", US_national_yearly!$D:$AM, 16, FALSE) / VLOOKUP("buildings|PM25|Asthma symptoms cough", US_national_yearly!$D:$AM, 10, FALSE), 1)</f>
        <v>9.4927034181332103E-3</v>
      </c>
      <c r="I6" s="7">
        <f>$B6 * IFERROR(VLOOKUP("buildings|PM25|Asthma symptoms cough", US_national_yearly!$D:$AM, 17, FALSE) / VLOOKUP("buildings|PM25|Asthma symptoms cough", US_national_yearly!$D:$AM, 10, FALSE), 1)</f>
        <v>9.4927034181332103E-3</v>
      </c>
      <c r="J6" s="7">
        <f>$B6 * IFERROR(VLOOKUP("buildings|PM25|Asthma symptoms cough", US_national_yearly!$D:$AM, 18, FALSE) / VLOOKUP("buildings|PM25|Asthma symptoms cough", US_national_yearly!$D:$AM, 10, FALSE), 1)</f>
        <v>9.4927034181332103E-3</v>
      </c>
      <c r="K6" s="7">
        <f>$B6 * IFERROR(VLOOKUP("buildings|PM25|Asthma symptoms cough", US_national_yearly!$D:$AM, 19, FALSE) / VLOOKUP("buildings|PM25|Asthma symptoms cough", US_national_yearly!$D:$AM, 10, FALSE), 1)</f>
        <v>9.4927034181332103E-3</v>
      </c>
      <c r="L6" s="7">
        <f>$B6 * IFERROR(VLOOKUP("buildings|PM25|Asthma symptoms cough", US_national_yearly!$D:$AM, 20, FALSE) / VLOOKUP("buildings|PM25|Asthma symptoms cough", US_national_yearly!$D:$AM, 10, FALSE), 1)</f>
        <v>9.4927034181332103E-3</v>
      </c>
      <c r="M6" s="7">
        <f>$B6 * IFERROR(VLOOKUP("buildings|PM25|Asthma symptoms cough", US_national_yearly!$D:$AM, 21, FALSE) / VLOOKUP("buildings|PM25|Asthma symptoms cough", US_national_yearly!$D:$AM, 10, FALSE), 1)</f>
        <v>9.4927034181332103E-3</v>
      </c>
      <c r="N6" s="7">
        <f>$B6 * IFERROR(VLOOKUP("buildings|PM25|Asthma symptoms cough", US_national_yearly!$D:$AM, 22, FALSE) / VLOOKUP("buildings|PM25|Asthma symptoms cough", US_national_yearly!$D:$AM, 10, FALSE), 1)</f>
        <v>9.4927034181332103E-3</v>
      </c>
      <c r="O6" s="7">
        <f>$B6 * IFERROR(VLOOKUP("buildings|PM25|Asthma symptoms cough", US_national_yearly!$D:$AM, 23, FALSE) / VLOOKUP("buildings|PM25|Asthma symptoms cough", US_national_yearly!$D:$AM, 10, FALSE), 1)</f>
        <v>9.4927034181332103E-3</v>
      </c>
      <c r="P6" s="7">
        <f>$B6 * IFERROR(VLOOKUP("buildings|PM25|Asthma symptoms cough", US_national_yearly!$D:$AM, 24, FALSE) / VLOOKUP("buildings|PM25|Asthma symptoms cough", US_national_yearly!$D:$AM, 10, FALSE), 1)</f>
        <v>9.4927034181332103E-3</v>
      </c>
      <c r="Q6" s="7">
        <f>$B6 * IFERROR(VLOOKUP("buildings|PM25|Asthma symptoms cough", US_national_yearly!$D:$AM, 25, FALSE) / VLOOKUP("buildings|PM25|Asthma symptoms cough", US_national_yearly!$D:$AM, 10, FALSE), 1)</f>
        <v>9.4927034181332103E-3</v>
      </c>
      <c r="R6" s="7">
        <f>$B6 * IFERROR(VLOOKUP("buildings|PM25|Asthma symptoms cough", US_national_yearly!$D:$AM, 26, FALSE) / VLOOKUP("buildings|PM25|Asthma symptoms cough", US_national_yearly!$D:$AM, 10, FALSE), 1)</f>
        <v>9.4927034181332103E-3</v>
      </c>
      <c r="S6" s="7">
        <f>$B6 * IFERROR(VLOOKUP("buildings|PM25|Asthma symptoms cough", US_national_yearly!$D:$AM, 27, FALSE) / VLOOKUP("buildings|PM25|Asthma symptoms cough", US_national_yearly!$D:$AM, 10, FALSE), 1)</f>
        <v>9.4927034181332103E-3</v>
      </c>
      <c r="T6" s="7">
        <f>$B6 * IFERROR(VLOOKUP("buildings|PM25|Asthma symptoms cough", US_national_yearly!$D:$AM, 28, FALSE) / VLOOKUP("buildings|PM25|Asthma symptoms cough", US_national_yearly!$D:$AM, 10, FALSE), 1)</f>
        <v>9.4927034181332103E-3</v>
      </c>
      <c r="U6" s="7">
        <f>$B6 * IFERROR(VLOOKUP("buildings|PM25|Asthma symptoms cough", US_national_yearly!$D:$AM, 29, FALSE) / VLOOKUP("buildings|PM25|Asthma symptoms cough", US_national_yearly!$D:$AM, 10, FALSE), 1)</f>
        <v>9.4927034181332103E-3</v>
      </c>
      <c r="V6" s="7">
        <f>$B6 * IFERROR(VLOOKUP("buildings|PM25|Asthma symptoms cough", US_national_yearly!$D:$AM, 30, FALSE) / VLOOKUP("buildings|PM25|Asthma symptoms cough", US_national_yearly!$D:$AM, 10, FALSE), 1)</f>
        <v>9.4927034181332103E-3</v>
      </c>
      <c r="W6" s="7">
        <f>$B6 * IFERROR(VLOOKUP("buildings|PM25|Asthma symptoms cough", US_national_yearly!$D:$AM, 31, FALSE) / VLOOKUP("buildings|PM25|Asthma symptoms cough", US_national_yearly!$D:$AM, 10, FALSE), 1)</f>
        <v>9.4927034181332103E-3</v>
      </c>
      <c r="X6" s="7">
        <f>$B6 * IFERROR(VLOOKUP("buildings|PM25|Asthma symptoms cough", US_national_yearly!$D:$AM, 32, FALSE) / VLOOKUP("buildings|PM25|Asthma symptoms cough", US_national_yearly!$D:$AM, 10, FALSE), 1)</f>
        <v>9.4927034181332103E-3</v>
      </c>
      <c r="Y6" s="7">
        <f>$B6 * IFERROR(VLOOKUP("buildings|PM25|Asthma symptoms cough", US_national_yearly!$D:$AM, 33, FALSE) / VLOOKUP("buildings|PM25|Asthma symptoms cough", US_national_yearly!$D:$AM, 10, FALSE), 1)</f>
        <v>9.4927034181332103E-3</v>
      </c>
      <c r="Z6" s="7">
        <f>$B6 * IFERROR(VLOOKUP("buildings|PM25|Asthma symptoms cough", US_national_yearly!$D:$AM, 34, FALSE) / VLOOKUP("buildings|PM25|Asthma symptoms cough", US_national_yearly!$D:$AM, 10, FALSE), 1)</f>
        <v>9.4927034181332103E-3</v>
      </c>
      <c r="AA6" s="7">
        <f>$B6 * IFERROR(VLOOKUP("buildings|PM25|Asthma symptoms cough", US_national_yearly!$D:$AM, 35, FALSE) / VLOOKUP("buildings|PM25|Asthma symptoms cough", US_national_yearly!$D:$AM, 10, FALSE), 1)</f>
        <v>9.4927034181332103E-3</v>
      </c>
      <c r="AB6" s="7">
        <f>$B6 * IFERROR(VLOOKUP("buildings|PM25|Asthma symptoms cough", US_national_yearly!$D:$AM, 36, FALSE) / VLOOKUP("buildings|PM25|Asthma symptoms cough", US_national_yearly!$D:$AM, 10, FALSE), 1)</f>
        <v>9.4927034181332103E-3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1.2783310592865008E-2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1.2783310592865008E-2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1.2783310592865008E-2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1.2783310592865008E-2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1.2783310592865008E-2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1.2783310592865008E-2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1.2783310592865008E-2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1.2783310592865008E-2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1.2783310592865008E-2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1.2783310592865008E-2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1.2783310592865008E-2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1.2783310592865008E-2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1.2783310592865008E-2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1.2783310592865008E-2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1.2783310592865008E-2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1.2783310592865008E-2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1.2783310592865008E-2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1.2783310592865008E-2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1.2783310592865008E-2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1.2783310592865008E-2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1.2783310592865008E-2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1.2783310592865008E-2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1.2783310592865008E-2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1.2783310592865008E-2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1.2783310592865008E-2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1.2783310592865008E-2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1.2783310592865008E-2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1.9530703667485858E-2</v>
      </c>
      <c r="C8" s="7">
        <f>$B8 * IFERROR(VLOOKUP("buildings|PM25|Asthma symptoms wheeze", US_national_yearly!$D:$AM, 11, FALSE) / VLOOKUP("buildings|PM25|Asthma symptoms wheeze", US_national_yearly!$D:$AM, 10, FALSE), 1)</f>
        <v>1.9530703667485858E-2</v>
      </c>
      <c r="D8" s="7">
        <f>$B8 * IFERROR(VLOOKUP("buildings|PM25|Asthma symptoms wheeze", US_national_yearly!$D:$AM, 12, FALSE) / VLOOKUP("buildings|PM25|Asthma symptoms wheeze", US_national_yearly!$D:$AM, 10, FALSE), 1)</f>
        <v>1.9530703667485858E-2</v>
      </c>
      <c r="E8" s="7">
        <f>$B8 * IFERROR(VLOOKUP("buildings|PM25|Asthma symptoms wheeze", US_national_yearly!$D:$AM, 13, FALSE) / VLOOKUP("buildings|PM25|Asthma symptoms wheeze", US_national_yearly!$D:$AM, 10, FALSE), 1)</f>
        <v>1.9530703667485858E-2</v>
      </c>
      <c r="F8" s="7">
        <f>$B8 * IFERROR(VLOOKUP("buildings|PM25|Asthma symptoms wheeze", US_national_yearly!$D:$AM, 14, FALSE) / VLOOKUP("buildings|PM25|Asthma symptoms wheeze", US_national_yearly!$D:$AM, 10, FALSE), 1)</f>
        <v>1.9530703667485858E-2</v>
      </c>
      <c r="G8" s="7">
        <f>$B8 * IFERROR(VLOOKUP("buildings|PM25|Asthma symptoms wheeze", US_national_yearly!$D:$AM, 15, FALSE) / VLOOKUP("buildings|PM25|Asthma symptoms wheeze", US_national_yearly!$D:$AM, 10, FALSE), 1)</f>
        <v>1.9530703667485858E-2</v>
      </c>
      <c r="H8" s="7">
        <f>$B8 * IFERROR(VLOOKUP("buildings|PM25|Asthma symptoms wheeze", US_national_yearly!$D:$AM, 16, FALSE) / VLOOKUP("buildings|PM25|Asthma symptoms wheeze", US_national_yearly!$D:$AM, 10, FALSE), 1)</f>
        <v>1.9530703667485858E-2</v>
      </c>
      <c r="I8" s="7">
        <f>$B8 * IFERROR(VLOOKUP("buildings|PM25|Asthma symptoms wheeze", US_national_yearly!$D:$AM, 17, FALSE) / VLOOKUP("buildings|PM25|Asthma symptoms wheeze", US_national_yearly!$D:$AM, 10, FALSE), 1)</f>
        <v>1.9530703667485858E-2</v>
      </c>
      <c r="J8" s="7">
        <f>$B8 * IFERROR(VLOOKUP("buildings|PM25|Asthma symptoms wheeze", US_national_yearly!$D:$AM, 18, FALSE) / VLOOKUP("buildings|PM25|Asthma symptoms wheeze", US_national_yearly!$D:$AM, 10, FALSE), 1)</f>
        <v>1.9530703667485858E-2</v>
      </c>
      <c r="K8" s="7">
        <f>$B8 * IFERROR(VLOOKUP("buildings|PM25|Asthma symptoms wheeze", US_national_yearly!$D:$AM, 19, FALSE) / VLOOKUP("buildings|PM25|Asthma symptoms wheeze", US_national_yearly!$D:$AM, 10, FALSE), 1)</f>
        <v>1.9530703667485858E-2</v>
      </c>
      <c r="L8" s="7">
        <f>$B8 * IFERROR(VLOOKUP("buildings|PM25|Asthma symptoms wheeze", US_national_yearly!$D:$AM, 20, FALSE) / VLOOKUP("buildings|PM25|Asthma symptoms wheeze", US_national_yearly!$D:$AM, 10, FALSE), 1)</f>
        <v>1.9530703667485858E-2</v>
      </c>
      <c r="M8" s="7">
        <f>$B8 * IFERROR(VLOOKUP("buildings|PM25|Asthma symptoms wheeze", US_national_yearly!$D:$AM, 21, FALSE) / VLOOKUP("buildings|PM25|Asthma symptoms wheeze", US_national_yearly!$D:$AM, 10, FALSE), 1)</f>
        <v>1.9530703667485858E-2</v>
      </c>
      <c r="N8" s="7">
        <f>$B8 * IFERROR(VLOOKUP("buildings|PM25|Asthma symptoms wheeze", US_national_yearly!$D:$AM, 22, FALSE) / VLOOKUP("buildings|PM25|Asthma symptoms wheeze", US_national_yearly!$D:$AM, 10, FALSE), 1)</f>
        <v>1.9530703667485858E-2</v>
      </c>
      <c r="O8" s="7">
        <f>$B8 * IFERROR(VLOOKUP("buildings|PM25|Asthma symptoms wheeze", US_national_yearly!$D:$AM, 23, FALSE) / VLOOKUP("buildings|PM25|Asthma symptoms wheeze", US_national_yearly!$D:$AM, 10, FALSE), 1)</f>
        <v>1.9530703667485858E-2</v>
      </c>
      <c r="P8" s="7">
        <f>$B8 * IFERROR(VLOOKUP("buildings|PM25|Asthma symptoms wheeze", US_national_yearly!$D:$AM, 24, FALSE) / VLOOKUP("buildings|PM25|Asthma symptoms wheeze", US_national_yearly!$D:$AM, 10, FALSE), 1)</f>
        <v>1.9530703667485858E-2</v>
      </c>
      <c r="Q8" s="7">
        <f>$B8 * IFERROR(VLOOKUP("buildings|PM25|Asthma symptoms wheeze", US_national_yearly!$D:$AM, 25, FALSE) / VLOOKUP("buildings|PM25|Asthma symptoms wheeze", US_national_yearly!$D:$AM, 10, FALSE), 1)</f>
        <v>1.9530703667485858E-2</v>
      </c>
      <c r="R8" s="7">
        <f>$B8 * IFERROR(VLOOKUP("buildings|PM25|Asthma symptoms wheeze", US_national_yearly!$D:$AM, 26, FALSE) / VLOOKUP("buildings|PM25|Asthma symptoms wheeze", US_national_yearly!$D:$AM, 10, FALSE), 1)</f>
        <v>1.9530703667485858E-2</v>
      </c>
      <c r="S8" s="7">
        <f>$B8 * IFERROR(VLOOKUP("buildings|PM25|Asthma symptoms wheeze", US_national_yearly!$D:$AM, 27, FALSE) / VLOOKUP("buildings|PM25|Asthma symptoms wheeze", US_national_yearly!$D:$AM, 10, FALSE), 1)</f>
        <v>1.9530703667485858E-2</v>
      </c>
      <c r="T8" s="7">
        <f>$B8 * IFERROR(VLOOKUP("buildings|PM25|Asthma symptoms wheeze", US_national_yearly!$D:$AM, 28, FALSE) / VLOOKUP("buildings|PM25|Asthma symptoms wheeze", US_national_yearly!$D:$AM, 10, FALSE), 1)</f>
        <v>1.9530703667485858E-2</v>
      </c>
      <c r="U8" s="7">
        <f>$B8 * IFERROR(VLOOKUP("buildings|PM25|Asthma symptoms wheeze", US_national_yearly!$D:$AM, 29, FALSE) / VLOOKUP("buildings|PM25|Asthma symptoms wheeze", US_national_yearly!$D:$AM, 10, FALSE), 1)</f>
        <v>1.9530703667485858E-2</v>
      </c>
      <c r="V8" s="7">
        <f>$B8 * IFERROR(VLOOKUP("buildings|PM25|Asthma symptoms wheeze", US_national_yearly!$D:$AM, 30, FALSE) / VLOOKUP("buildings|PM25|Asthma symptoms wheeze", US_national_yearly!$D:$AM, 10, FALSE), 1)</f>
        <v>1.9530703667485858E-2</v>
      </c>
      <c r="W8" s="7">
        <f>$B8 * IFERROR(VLOOKUP("buildings|PM25|Asthma symptoms wheeze", US_national_yearly!$D:$AM, 31, FALSE) / VLOOKUP("buildings|PM25|Asthma symptoms wheeze", US_national_yearly!$D:$AM, 10, FALSE), 1)</f>
        <v>1.9530703667485858E-2</v>
      </c>
      <c r="X8" s="7">
        <f>$B8 * IFERROR(VLOOKUP("buildings|PM25|Asthma symptoms wheeze", US_national_yearly!$D:$AM, 32, FALSE) / VLOOKUP("buildings|PM25|Asthma symptoms wheeze", US_national_yearly!$D:$AM, 10, FALSE), 1)</f>
        <v>1.9530703667485858E-2</v>
      </c>
      <c r="Y8" s="7">
        <f>$B8 * IFERROR(VLOOKUP("buildings|PM25|Asthma symptoms wheeze", US_national_yearly!$D:$AM, 33, FALSE) / VLOOKUP("buildings|PM25|Asthma symptoms wheeze", US_national_yearly!$D:$AM, 10, FALSE), 1)</f>
        <v>1.9530703667485858E-2</v>
      </c>
      <c r="Z8" s="7">
        <f>$B8 * IFERROR(VLOOKUP("buildings|PM25|Asthma symptoms wheeze", US_national_yearly!$D:$AM, 34, FALSE) / VLOOKUP("buildings|PM25|Asthma symptoms wheeze", US_national_yearly!$D:$AM, 10, FALSE), 1)</f>
        <v>1.9530703667485858E-2</v>
      </c>
      <c r="AA8" s="7">
        <f>$B8 * IFERROR(VLOOKUP("buildings|PM25|Asthma symptoms wheeze", US_national_yearly!$D:$AM, 35, FALSE) / VLOOKUP("buildings|PM25|Asthma symptoms wheeze", US_national_yearly!$D:$AM, 10, FALSE), 1)</f>
        <v>1.9530703667485858E-2</v>
      </c>
      <c r="AB8" s="7">
        <f>$B8 * IFERROR(VLOOKUP("buildings|PM25|Asthma symptoms wheeze", US_national_yearly!$D:$AM, 36, FALSE) / VLOOKUP("buildings|PM25|Asthma symptoms wheeze", US_national_yearly!$D:$AM, 10, FALSE), 1)</f>
        <v>1.9530703667485858E-2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3.525551970883837E-4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3.545873838628025E-4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3.5661957063722136E-4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3.5865175741164028E-4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3.6068394418605913E-4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3.6287686199436937E-4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3.6506977980267955E-4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3.671554429401625E-4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3.6924110607764534E-4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3.7132676921512817E-4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3.7341243235261112E-4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3.7549809549009396E-4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3.7699825228195869E-4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3.7849840907382343E-4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3.7999856586568817E-4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3.814987226575528E-4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3.8299887944941754E-4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3.844281882015613E-4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3.8585749695370527E-4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3.8728680570584902E-4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3.8871611445799283E-4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3.9014542321013675E-4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3.9152590889359774E-4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3.9290639457705885E-4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3.9428688026051984E-4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3.9566736594398095E-4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3.97047851627442E-4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1.7138681834467093E-3</v>
      </c>
      <c r="C13" s="7">
        <f>$B13 * IFERROR(VLOOKUP("buildings|PM25|Non-fatal heart attacks", US_national_yearly!$D:$AM, 11, FALSE) / VLOOKUP("buildings|PM25|Non-fatal heart attacks", US_national_yearly!$D:$AM, 10, FALSE), 1)</f>
        <v>1.7637184647337893E-3</v>
      </c>
      <c r="D13" s="7">
        <f>$B13 * IFERROR(VLOOKUP("buildings|PM25|Non-fatal heart attacks", US_national_yearly!$D:$AM, 12, FALSE) / VLOOKUP("buildings|PM25|Non-fatal heart attacks", US_national_yearly!$D:$AM, 10, FALSE), 1)</f>
        <v>1.813568746020869E-3</v>
      </c>
      <c r="E13" s="7">
        <f>$B13 * IFERROR(VLOOKUP("buildings|PM25|Non-fatal heart attacks", US_national_yearly!$D:$AM, 13, FALSE) / VLOOKUP("buildings|PM25|Non-fatal heart attacks", US_national_yearly!$D:$AM, 10, FALSE), 1)</f>
        <v>1.8634190273079485E-3</v>
      </c>
      <c r="F13" s="7">
        <f>$B13 * IFERROR(VLOOKUP("buildings|PM25|Non-fatal heart attacks", US_national_yearly!$D:$AM, 14, FALSE) / VLOOKUP("buildings|PM25|Non-fatal heart attacks", US_national_yearly!$D:$AM, 10, FALSE), 1)</f>
        <v>1.9132693085950284E-3</v>
      </c>
      <c r="G13" s="7">
        <f>$B13 * IFERROR(VLOOKUP("buildings|PM25|Non-fatal heart attacks", US_national_yearly!$D:$AM, 15, FALSE) / VLOOKUP("buildings|PM25|Non-fatal heart attacks", US_national_yearly!$D:$AM, 10, FALSE), 1)</f>
        <v>1.9603058961965799E-3</v>
      </c>
      <c r="H13" s="7">
        <f>$B13 * IFERROR(VLOOKUP("buildings|PM25|Non-fatal heart attacks", US_national_yearly!$D:$AM, 16, FALSE) / VLOOKUP("buildings|PM25|Non-fatal heart attacks", US_national_yearly!$D:$AM, 10, FALSE), 1)</f>
        <v>2.0073424837981301E-3</v>
      </c>
      <c r="I13" s="7">
        <f>$B13 * IFERROR(VLOOKUP("buildings|PM25|Non-fatal heart attacks", US_national_yearly!$D:$AM, 17, FALSE) / VLOOKUP("buildings|PM25|Non-fatal heart attacks", US_national_yearly!$D:$AM, 10, FALSE), 1)</f>
        <v>2.0451870718008486E-3</v>
      </c>
      <c r="J13" s="7">
        <f>$B13 * IFERROR(VLOOKUP("buildings|PM25|Non-fatal heart attacks", US_national_yearly!$D:$AM, 18, FALSE) / VLOOKUP("buildings|PM25|Non-fatal heart attacks", US_national_yearly!$D:$AM, 10, FALSE), 1)</f>
        <v>2.0830316598035672E-3</v>
      </c>
      <c r="K13" s="7">
        <f>$B13 * IFERROR(VLOOKUP("buildings|PM25|Non-fatal heart attacks", US_national_yearly!$D:$AM, 19, FALSE) / VLOOKUP("buildings|PM25|Non-fatal heart attacks", US_national_yearly!$D:$AM, 10, FALSE), 1)</f>
        <v>2.1208762478062853E-3</v>
      </c>
      <c r="L13" s="7">
        <f>$B13 * IFERROR(VLOOKUP("buildings|PM25|Non-fatal heart attacks", US_national_yearly!$D:$AM, 20, FALSE) / VLOOKUP("buildings|PM25|Non-fatal heart attacks", US_national_yearly!$D:$AM, 10, FALSE), 1)</f>
        <v>2.1587208358090034E-3</v>
      </c>
      <c r="M13" s="7">
        <f>$B13 * IFERROR(VLOOKUP("buildings|PM25|Non-fatal heart attacks", US_national_yearly!$D:$AM, 21, FALSE) / VLOOKUP("buildings|PM25|Non-fatal heart attacks", US_national_yearly!$D:$AM, 10, FALSE), 1)</f>
        <v>2.1965654238117215E-3</v>
      </c>
      <c r="N13" s="7">
        <f>$B13 * IFERROR(VLOOKUP("buildings|PM25|Non-fatal heart attacks", US_national_yearly!$D:$AM, 22, FALSE) / VLOOKUP("buildings|PM25|Non-fatal heart attacks", US_national_yearly!$D:$AM, 10, FALSE), 1)</f>
        <v>2.2210136189180314E-3</v>
      </c>
      <c r="O13" s="7">
        <f>$B13 * IFERROR(VLOOKUP("buildings|PM25|Non-fatal heart attacks", US_national_yearly!$D:$AM, 23, FALSE) / VLOOKUP("buildings|PM25|Non-fatal heart attacks", US_national_yearly!$D:$AM, 10, FALSE), 1)</f>
        <v>2.2454618140243404E-3</v>
      </c>
      <c r="P13" s="7">
        <f>$B13 * IFERROR(VLOOKUP("buildings|PM25|Non-fatal heart attacks", US_national_yearly!$D:$AM, 24, FALSE) / VLOOKUP("buildings|PM25|Non-fatal heart attacks", US_national_yearly!$D:$AM, 10, FALSE), 1)</f>
        <v>2.2699100091306498E-3</v>
      </c>
      <c r="Q13" s="7">
        <f>$B13 * IFERROR(VLOOKUP("buildings|PM25|Non-fatal heart attacks", US_national_yearly!$D:$AM, 25, FALSE) / VLOOKUP("buildings|PM25|Non-fatal heart attacks", US_national_yearly!$D:$AM, 10, FALSE), 1)</f>
        <v>2.2943582042369592E-3</v>
      </c>
      <c r="R13" s="7">
        <f>$B13 * IFERROR(VLOOKUP("buildings|PM25|Non-fatal heart attacks", US_national_yearly!$D:$AM, 26, FALSE) / VLOOKUP("buildings|PM25|Non-fatal heart attacks", US_national_yearly!$D:$AM, 10, FALSE), 1)</f>
        <v>2.3188063993432686E-3</v>
      </c>
      <c r="S13" s="7">
        <f>$B13 * IFERROR(VLOOKUP("buildings|PM25|Non-fatal heart attacks", US_national_yearly!$D:$AM, 27, FALSE) / VLOOKUP("buildings|PM25|Non-fatal heart attacks", US_national_yearly!$D:$AM, 10, FALSE), 1)</f>
        <v>2.3317372830169592E-3</v>
      </c>
      <c r="T13" s="7">
        <f>$B13 * IFERROR(VLOOKUP("buildings|PM25|Non-fatal heart attacks", US_national_yearly!$D:$AM, 28, FALSE) / VLOOKUP("buildings|PM25|Non-fatal heart attacks", US_national_yearly!$D:$AM, 10, FALSE), 1)</f>
        <v>2.3446681666906503E-3</v>
      </c>
      <c r="U13" s="7">
        <f>$B13 * IFERROR(VLOOKUP("buildings|PM25|Non-fatal heart attacks", US_national_yearly!$D:$AM, 29, FALSE) / VLOOKUP("buildings|PM25|Non-fatal heart attacks", US_national_yearly!$D:$AM, 10, FALSE), 1)</f>
        <v>2.3575990503643418E-3</v>
      </c>
      <c r="V13" s="7">
        <f>$B13 * IFERROR(VLOOKUP("buildings|PM25|Non-fatal heart attacks", US_national_yearly!$D:$AM, 30, FALSE) / VLOOKUP("buildings|PM25|Non-fatal heart attacks", US_national_yearly!$D:$AM, 10, FALSE), 1)</f>
        <v>2.3705299340380324E-3</v>
      </c>
      <c r="W13" s="7">
        <f>$B13 * IFERROR(VLOOKUP("buildings|PM25|Non-fatal heart attacks", US_national_yearly!$D:$AM, 31, FALSE) / VLOOKUP("buildings|PM25|Non-fatal heart attacks", US_national_yearly!$D:$AM, 10, FALSE), 1)</f>
        <v>2.3834608177117239E-3</v>
      </c>
      <c r="X13" s="7">
        <f>$B13 * IFERROR(VLOOKUP("buildings|PM25|Non-fatal heart attacks", US_national_yearly!$D:$AM, 32, FALSE) / VLOOKUP("buildings|PM25|Non-fatal heart attacks", US_national_yearly!$D:$AM, 10, FALSE), 1)</f>
        <v>2.3933021646374577E-3</v>
      </c>
      <c r="Y13" s="7">
        <f>$B13 * IFERROR(VLOOKUP("buildings|PM25|Non-fatal heart attacks", US_national_yearly!$D:$AM, 33, FALSE) / VLOOKUP("buildings|PM25|Non-fatal heart attacks", US_national_yearly!$D:$AM, 10, FALSE), 1)</f>
        <v>2.4031435115631919E-3</v>
      </c>
      <c r="Z13" s="7">
        <f>$B13 * IFERROR(VLOOKUP("buildings|PM25|Non-fatal heart attacks", US_national_yearly!$D:$AM, 34, FALSE) / VLOOKUP("buildings|PM25|Non-fatal heart attacks", US_national_yearly!$D:$AM, 10, FALSE), 1)</f>
        <v>2.4129848584889257E-3</v>
      </c>
      <c r="AA13" s="7">
        <f>$B13 * IFERROR(VLOOKUP("buildings|PM25|Non-fatal heart attacks", US_national_yearly!$D:$AM, 35, FALSE) / VLOOKUP("buildings|PM25|Non-fatal heart attacks", US_national_yearly!$D:$AM, 10, FALSE), 1)</f>
        <v>2.42282620541466E-3</v>
      </c>
      <c r="AB13" s="7">
        <f>$B13 * IFERROR(VLOOKUP("buildings|PM25|Non-fatal heart attacks", US_national_yearly!$D:$AM, 36, FALSE) / VLOOKUP("buildings|PM25|Non-fatal heart attacks", US_national_yearly!$D:$AM, 10, FALSE), 1)</f>
        <v>2.4326675523403942E-3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1.3649387915384077</v>
      </c>
      <c r="C14" s="7">
        <f>$B14 * IFERROR(VLOOKUP("buildings|PM25|Minor restricted activity days", US_national_yearly!$D:$AM, 11, FALSE) / VLOOKUP("buildings|PM25|Minor restricted activity days", US_national_yearly!$D:$AM, 10, FALSE), 1)</f>
        <v>1.3683334708347852</v>
      </c>
      <c r="D14" s="7">
        <f>$B14 * IFERROR(VLOOKUP("buildings|PM25|Minor restricted activity days", US_national_yearly!$D:$AM, 12, FALSE) / VLOOKUP("buildings|PM25|Minor restricted activity days", US_national_yearly!$D:$AM, 10, FALSE), 1)</f>
        <v>1.3717281501311627</v>
      </c>
      <c r="E14" s="7">
        <f>$B14 * IFERROR(VLOOKUP("buildings|PM25|Minor restricted activity days", US_national_yearly!$D:$AM, 13, FALSE) / VLOOKUP("buildings|PM25|Minor restricted activity days", US_national_yearly!$D:$AM, 10, FALSE), 1)</f>
        <v>1.3751228294275402</v>
      </c>
      <c r="F14" s="7">
        <f>$B14 * IFERROR(VLOOKUP("buildings|PM25|Minor restricted activity days", US_national_yearly!$D:$AM, 14, FALSE) / VLOOKUP("buildings|PM25|Minor restricted activity days", US_national_yearly!$D:$AM, 10, FALSE), 1)</f>
        <v>1.3785175087239172</v>
      </c>
      <c r="G14" s="7">
        <f>$B14 * IFERROR(VLOOKUP("buildings|PM25|Minor restricted activity days", US_national_yearly!$D:$AM, 15, FALSE) / VLOOKUP("buildings|PM25|Minor restricted activity days", US_national_yearly!$D:$AM, 10, FALSE), 1)</f>
        <v>1.3834964725533665</v>
      </c>
      <c r="H14" s="7">
        <f>$B14 * IFERROR(VLOOKUP("buildings|PM25|Minor restricted activity days", US_national_yearly!$D:$AM, 16, FALSE) / VLOOKUP("buildings|PM25|Minor restricted activity days", US_national_yearly!$D:$AM, 10, FALSE), 1)</f>
        <v>1.3884754363828153</v>
      </c>
      <c r="I14" s="7">
        <f>$B14 * IFERROR(VLOOKUP("buildings|PM25|Minor restricted activity days", US_national_yearly!$D:$AM, 17, FALSE) / VLOOKUP("buildings|PM25|Minor restricted activity days", US_national_yearly!$D:$AM, 10, FALSE), 1)</f>
        <v>1.3969419099555549</v>
      </c>
      <c r="J14" s="7">
        <f>$B14 * IFERROR(VLOOKUP("buildings|PM25|Minor restricted activity days", US_national_yearly!$D:$AM, 18, FALSE) / VLOOKUP("buildings|PM25|Minor restricted activity days", US_national_yearly!$D:$AM, 10, FALSE), 1)</f>
        <v>1.4054083835282951</v>
      </c>
      <c r="K14" s="7">
        <f>$B14 * IFERROR(VLOOKUP("buildings|PM25|Minor restricted activity days", US_national_yearly!$D:$AM, 19, FALSE) / VLOOKUP("buildings|PM25|Minor restricted activity days", US_national_yearly!$D:$AM, 10, FALSE), 1)</f>
        <v>1.413874857101034</v>
      </c>
      <c r="L14" s="7">
        <f>$B14 * IFERROR(VLOOKUP("buildings|PM25|Minor restricted activity days", US_national_yearly!$D:$AM, 20, FALSE) / VLOOKUP("buildings|PM25|Minor restricted activity days", US_national_yearly!$D:$AM, 10, FALSE), 1)</f>
        <v>1.4223413306737731</v>
      </c>
      <c r="M14" s="7">
        <f>$B14 * IFERROR(VLOOKUP("buildings|PM25|Minor restricted activity days", US_national_yearly!$D:$AM, 21, FALSE) / VLOOKUP("buildings|PM25|Minor restricted activity days", US_national_yearly!$D:$AM, 10, FALSE), 1)</f>
        <v>1.4308078042465124</v>
      </c>
      <c r="N14" s="7">
        <f>$B14 * IFERROR(VLOOKUP("buildings|PM25|Minor restricted activity days", US_national_yearly!$D:$AM, 22, FALSE) / VLOOKUP("buildings|PM25|Minor restricted activity days", US_national_yearly!$D:$AM, 10, FALSE), 1)</f>
        <v>1.4423116991791669</v>
      </c>
      <c r="O14" s="7">
        <f>$B14 * IFERROR(VLOOKUP("buildings|PM25|Minor restricted activity days", US_national_yearly!$D:$AM, 23, FALSE) / VLOOKUP("buildings|PM25|Minor restricted activity days", US_national_yearly!$D:$AM, 10, FALSE), 1)</f>
        <v>1.4538155941118209</v>
      </c>
      <c r="P14" s="7">
        <f>$B14 * IFERROR(VLOOKUP("buildings|PM25|Minor restricted activity days", US_national_yearly!$D:$AM, 24, FALSE) / VLOOKUP("buildings|PM25|Minor restricted activity days", US_national_yearly!$D:$AM, 10, FALSE), 1)</f>
        <v>1.4653194890444752</v>
      </c>
      <c r="Q14" s="7">
        <f>$B14 * IFERROR(VLOOKUP("buildings|PM25|Minor restricted activity days", US_national_yearly!$D:$AM, 25, FALSE) / VLOOKUP("buildings|PM25|Minor restricted activity days", US_national_yearly!$D:$AM, 10, FALSE), 1)</f>
        <v>1.4768233839771294</v>
      </c>
      <c r="R14" s="7">
        <f>$B14 * IFERROR(VLOOKUP("buildings|PM25|Minor restricted activity days", US_national_yearly!$D:$AM, 26, FALSE) / VLOOKUP("buildings|PM25|Minor restricted activity days", US_national_yearly!$D:$AM, 10, FALSE), 1)</f>
        <v>1.4883272789097834</v>
      </c>
      <c r="S14" s="7">
        <f>$B14 * IFERROR(VLOOKUP("buildings|PM25|Minor restricted activity days", US_national_yearly!$D:$AM, 27, FALSE) / VLOOKUP("buildings|PM25|Minor restricted activity days", US_national_yearly!$D:$AM, 10, FALSE), 1)</f>
        <v>1.499902464101641</v>
      </c>
      <c r="T14" s="7">
        <f>$B14 * IFERROR(VLOOKUP("buildings|PM25|Minor restricted activity days", US_national_yearly!$D:$AM, 28, FALSE) / VLOOKUP("buildings|PM25|Minor restricted activity days", US_national_yearly!$D:$AM, 10, FALSE), 1)</f>
        <v>1.511477649293498</v>
      </c>
      <c r="U14" s="7">
        <f>$B14 * IFERROR(VLOOKUP("buildings|PM25|Minor restricted activity days", US_national_yearly!$D:$AM, 29, FALSE) / VLOOKUP("buildings|PM25|Minor restricted activity days", US_national_yearly!$D:$AM, 10, FALSE), 1)</f>
        <v>1.5230528344853553</v>
      </c>
      <c r="V14" s="7">
        <f>$B14 * IFERROR(VLOOKUP("buildings|PM25|Minor restricted activity days", US_national_yearly!$D:$AM, 30, FALSE) / VLOOKUP("buildings|PM25|Minor restricted activity days", US_national_yearly!$D:$AM, 10, FALSE), 1)</f>
        <v>1.5346280196772124</v>
      </c>
      <c r="W14" s="7">
        <f>$B14 * IFERROR(VLOOKUP("buildings|PM25|Minor restricted activity days", US_national_yearly!$D:$AM, 31, FALSE) / VLOOKUP("buildings|PM25|Minor restricted activity days", US_national_yearly!$D:$AM, 10, FALSE), 1)</f>
        <v>1.5462032048690697</v>
      </c>
      <c r="X14" s="7">
        <f>$B14 * IFERROR(VLOOKUP("buildings|PM25|Minor restricted activity days", US_national_yearly!$D:$AM, 32, FALSE) / VLOOKUP("buildings|PM25|Minor restricted activity days", US_national_yearly!$D:$AM, 10, FALSE), 1)</f>
        <v>1.5562540028806027</v>
      </c>
      <c r="Y14" s="7">
        <f>$B14 * IFERROR(VLOOKUP("buildings|PM25|Minor restricted activity days", US_national_yearly!$D:$AM, 33, FALSE) / VLOOKUP("buildings|PM25|Minor restricted activity days", US_national_yearly!$D:$AM, 10, FALSE), 1)</f>
        <v>1.5663048008921354</v>
      </c>
      <c r="Z14" s="7">
        <f>$B14 * IFERROR(VLOOKUP("buildings|PM25|Minor restricted activity days", US_national_yearly!$D:$AM, 34, FALSE) / VLOOKUP("buildings|PM25|Minor restricted activity days", US_national_yearly!$D:$AM, 10, FALSE), 1)</f>
        <v>1.5763555989036679</v>
      </c>
      <c r="AA14" s="7">
        <f>$B14 * IFERROR(VLOOKUP("buildings|PM25|Minor restricted activity days", US_national_yearly!$D:$AM, 35, FALSE) / VLOOKUP("buildings|PM25|Minor restricted activity days", US_national_yearly!$D:$AM, 10, FALSE), 1)</f>
        <v>1.5864063969152005</v>
      </c>
      <c r="AB14" s="7">
        <f>$B14 * IFERROR(VLOOKUP("buildings|PM25|Minor restricted activity days", US_national_yearly!$D:$AM, 36, FALSE) / VLOOKUP("buildings|PM25|Minor restricted activity days", US_national_yearly!$D:$AM, 10, FALSE), 1)</f>
        <v>1.5964571949267332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0.22844685055166</v>
      </c>
      <c r="C15" s="7">
        <f>$B15 * IFERROR(VLOOKUP("buildings|PM25|Work loss days", US_national_yearly!$D:$AM, 11, FALSE) / VLOOKUP("buildings|PM25|Work loss days", US_national_yearly!$D:$AM, 10, FALSE), 1)</f>
        <v>0.22916376603556601</v>
      </c>
      <c r="D15" s="7">
        <f>$B15 * IFERROR(VLOOKUP("buildings|PM25|Work loss days", US_national_yearly!$D:$AM, 12, FALSE) / VLOOKUP("buildings|PM25|Work loss days", US_national_yearly!$D:$AM, 10, FALSE), 1)</f>
        <v>0.229880681519472</v>
      </c>
      <c r="E15" s="7">
        <f>$B15 * IFERROR(VLOOKUP("buildings|PM25|Work loss days", US_national_yearly!$D:$AM, 13, FALSE) / VLOOKUP("buildings|PM25|Work loss days", US_national_yearly!$D:$AM, 10, FALSE), 1)</f>
        <v>0.23059759700337798</v>
      </c>
      <c r="F15" s="7">
        <f>$B15 * IFERROR(VLOOKUP("buildings|PM25|Work loss days", US_national_yearly!$D:$AM, 14, FALSE) / VLOOKUP("buildings|PM25|Work loss days", US_national_yearly!$D:$AM, 10, FALSE), 1)</f>
        <v>0.23131451248728394</v>
      </c>
      <c r="G15" s="7">
        <f>$B15 * IFERROR(VLOOKUP("buildings|PM25|Work loss days", US_national_yearly!$D:$AM, 15, FALSE) / VLOOKUP("buildings|PM25|Work loss days", US_national_yearly!$D:$AM, 10, FALSE), 1)</f>
        <v>0.2322515852705119</v>
      </c>
      <c r="H15" s="7">
        <f>$B15 * IFERROR(VLOOKUP("buildings|PM25|Work loss days", US_national_yearly!$D:$AM, 16, FALSE) / VLOOKUP("buildings|PM25|Work loss days", US_national_yearly!$D:$AM, 10, FALSE), 1)</f>
        <v>0.23318865805373984</v>
      </c>
      <c r="I15" s="7">
        <f>$B15 * IFERROR(VLOOKUP("buildings|PM25|Work loss days", US_national_yearly!$D:$AM, 17, FALSE) / VLOOKUP("buildings|PM25|Work loss days", US_national_yearly!$D:$AM, 10, FALSE), 1)</f>
        <v>0.23456490527602072</v>
      </c>
      <c r="J15" s="7">
        <f>$B15 * IFERROR(VLOOKUP("buildings|PM25|Work loss days", US_national_yearly!$D:$AM, 18, FALSE) / VLOOKUP("buildings|PM25|Work loss days", US_national_yearly!$D:$AM, 10, FALSE), 1)</f>
        <v>0.23594115249830164</v>
      </c>
      <c r="K15" s="7">
        <f>$B15 * IFERROR(VLOOKUP("buildings|PM25|Work loss days", US_national_yearly!$D:$AM, 19, FALSE) / VLOOKUP("buildings|PM25|Work loss days", US_national_yearly!$D:$AM, 10, FALSE), 1)</f>
        <v>0.23731739972058255</v>
      </c>
      <c r="L15" s="7">
        <f>$B15 * IFERROR(VLOOKUP("buildings|PM25|Work loss days", US_national_yearly!$D:$AM, 20, FALSE) / VLOOKUP("buildings|PM25|Work loss days", US_national_yearly!$D:$AM, 10, FALSE), 1)</f>
        <v>0.23869364694286344</v>
      </c>
      <c r="M15" s="7">
        <f>$B15 * IFERROR(VLOOKUP("buildings|PM25|Work loss days", US_national_yearly!$D:$AM, 21, FALSE) / VLOOKUP("buildings|PM25|Work loss days", US_national_yearly!$D:$AM, 10, FALSE), 1)</f>
        <v>0.24006989416514438</v>
      </c>
      <c r="N15" s="7">
        <f>$B15 * IFERROR(VLOOKUP("buildings|PM25|Work loss days", US_national_yearly!$D:$AM, 22, FALSE) / VLOOKUP("buildings|PM25|Work loss days", US_national_yearly!$D:$AM, 10, FALSE), 1)</f>
        <v>0.24180020221869911</v>
      </c>
      <c r="O15" s="7">
        <f>$B15 * IFERROR(VLOOKUP("buildings|PM25|Work loss days", US_national_yearly!$D:$AM, 23, FALSE) / VLOOKUP("buildings|PM25|Work loss days", US_national_yearly!$D:$AM, 10, FALSE), 1)</f>
        <v>0.24353051027225389</v>
      </c>
      <c r="P15" s="7">
        <f>$B15 * IFERROR(VLOOKUP("buildings|PM25|Work loss days", US_national_yearly!$D:$AM, 24, FALSE) / VLOOKUP("buildings|PM25|Work loss days", US_national_yearly!$D:$AM, 10, FALSE), 1)</f>
        <v>0.24526081832580862</v>
      </c>
      <c r="Q15" s="7">
        <f>$B15 * IFERROR(VLOOKUP("buildings|PM25|Work loss days", US_national_yearly!$D:$AM, 25, FALSE) / VLOOKUP("buildings|PM25|Work loss days", US_national_yearly!$D:$AM, 10, FALSE), 1)</f>
        <v>0.24699112637936335</v>
      </c>
      <c r="R15" s="7">
        <f>$B15 * IFERROR(VLOOKUP("buildings|PM25|Work loss days", US_national_yearly!$D:$AM, 26, FALSE) / VLOOKUP("buildings|PM25|Work loss days", US_national_yearly!$D:$AM, 10, FALSE), 1)</f>
        <v>0.24872143443291811</v>
      </c>
      <c r="S15" s="7">
        <f>$B15 * IFERROR(VLOOKUP("buildings|PM25|Work loss days", US_national_yearly!$D:$AM, 27, FALSE) / VLOOKUP("buildings|PM25|Work loss days", US_national_yearly!$D:$AM, 10, FALSE), 1)</f>
        <v>0.25063277472665491</v>
      </c>
      <c r="T15" s="7">
        <f>$B15 * IFERROR(VLOOKUP("buildings|PM25|Work loss days", US_national_yearly!$D:$AM, 28, FALSE) / VLOOKUP("buildings|PM25|Work loss days", US_national_yearly!$D:$AM, 10, FALSE), 1)</f>
        <v>0.25254411502039176</v>
      </c>
      <c r="U15" s="7">
        <f>$B15 * IFERROR(VLOOKUP("buildings|PM25|Work loss days", US_national_yearly!$D:$AM, 29, FALSE) / VLOOKUP("buildings|PM25|Work loss days", US_national_yearly!$D:$AM, 10, FALSE), 1)</f>
        <v>0.25445545531412861</v>
      </c>
      <c r="V15" s="7">
        <f>$B15 * IFERROR(VLOOKUP("buildings|PM25|Work loss days", US_national_yearly!$D:$AM, 30, FALSE) / VLOOKUP("buildings|PM25|Work loss days", US_national_yearly!$D:$AM, 10, FALSE), 1)</f>
        <v>0.25636679560786541</v>
      </c>
      <c r="W15" s="7">
        <f>$B15 * IFERROR(VLOOKUP("buildings|PM25|Work loss days", US_national_yearly!$D:$AM, 31, FALSE) / VLOOKUP("buildings|PM25|Work loss days", US_national_yearly!$D:$AM, 10, FALSE), 1)</f>
        <v>0.25827813590160226</v>
      </c>
      <c r="X15" s="7">
        <f>$B15 * IFERROR(VLOOKUP("buildings|PM25|Work loss days", US_national_yearly!$D:$AM, 32, FALSE) / VLOOKUP("buildings|PM25|Work loss days", US_national_yearly!$D:$AM, 10, FALSE), 1)</f>
        <v>0.259974268243577</v>
      </c>
      <c r="Y15" s="7">
        <f>$B15 * IFERROR(VLOOKUP("buildings|PM25|Work loss days", US_national_yearly!$D:$AM, 33, FALSE) / VLOOKUP("buildings|PM25|Work loss days", US_national_yearly!$D:$AM, 10, FALSE), 1)</f>
        <v>0.26167040058555174</v>
      </c>
      <c r="Z15" s="7">
        <f>$B15 * IFERROR(VLOOKUP("buildings|PM25|Work loss days", US_national_yearly!$D:$AM, 34, FALSE) / VLOOKUP("buildings|PM25|Work loss days", US_national_yearly!$D:$AM, 10, FALSE), 1)</f>
        <v>0.26336653292752649</v>
      </c>
      <c r="AA15" s="7">
        <f>$B15 * IFERROR(VLOOKUP("buildings|PM25|Work loss days", US_national_yearly!$D:$AM, 35, FALSE) / VLOOKUP("buildings|PM25|Work loss days", US_national_yearly!$D:$AM, 10, FALSE), 1)</f>
        <v>0.26506266526950123</v>
      </c>
      <c r="AB15" s="7">
        <f>$B15 * IFERROR(VLOOKUP("buildings|PM25|Work loss days", US_national_yearly!$D:$AM, 36, FALSE) / VLOOKUP("buildings|PM25|Work loss days", US_national_yearly!$D:$AM, 10, FALSE), 1)</f>
        <v>0.26675879761147592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3.6443931715103426E-4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3.7533107693613841E-4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3.8622283672124262E-4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3.9711459650634671E-4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4.0800635629145086E-4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4.1844231086501552E-4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4.2887826543858024E-4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4.3781240274599236E-4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4.4674654005340448E-4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4.5568067736081666E-4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4.6461481466822884E-4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4.7354895197564107E-4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4.7951472930559666E-4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4.8548050663555235E-4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4.9144628396550799E-4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4.9741206129546363E-4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5.0337783862541927E-4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5.0654785248780234E-4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5.097178663501853E-4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5.1288788021256837E-4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5.1605789407495144E-4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5.1922790793733451E-4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5.2137133340099515E-4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5.2351475886465578E-4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5.2565818432831631E-4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5.2780160979197695E-4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5.2994503525563758E-4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1.9688770050399357E-4</v>
      </c>
      <c r="C2" s="7">
        <f>$B2 * IFERROR(VLOOKUP("buildings|NOx|Premature mortality", US_national_yearly!$D:$AM, 11, FALSE) / VLOOKUP("buildings|NOx|Premature mortality", US_national_yearly!$D:$AM, 10, FALSE), 1)</f>
        <v>1.9978365946193272E-4</v>
      </c>
      <c r="D2" s="7">
        <f>$B2 * IFERROR(VLOOKUP("buildings|NOx|Premature mortality", US_national_yearly!$D:$AM, 12, FALSE) / VLOOKUP("buildings|NOx|Premature mortality", US_national_yearly!$D:$AM, 10, FALSE), 1)</f>
        <v>2.0267961841987183E-4</v>
      </c>
      <c r="E2" s="7">
        <f>$B2 * IFERROR(VLOOKUP("buildings|NOx|Premature mortality", US_national_yearly!$D:$AM, 13, FALSE) / VLOOKUP("buildings|NOx|Premature mortality", US_national_yearly!$D:$AM, 10, FALSE), 1)</f>
        <v>2.0557557737781098E-4</v>
      </c>
      <c r="F2" s="7">
        <f>$B2 * IFERROR(VLOOKUP("buildings|NOx|Premature mortality", US_national_yearly!$D:$AM, 14, FALSE) / VLOOKUP("buildings|NOx|Premature mortality", US_national_yearly!$D:$AM, 10, FALSE), 1)</f>
        <v>2.0847153633575009E-4</v>
      </c>
      <c r="G2" s="7">
        <f>$B2 * IFERROR(VLOOKUP("buildings|NOx|Premature mortality", US_national_yearly!$D:$AM, 15, FALSE) / VLOOKUP("buildings|NOx|Premature mortality", US_national_yearly!$D:$AM, 10, FALSE), 1)</f>
        <v>2.1367083207481276E-4</v>
      </c>
      <c r="H2" s="7">
        <f>$B2 * IFERROR(VLOOKUP("buildings|NOx|Premature mortality", US_national_yearly!$D:$AM, 16, FALSE) / VLOOKUP("buildings|NOx|Premature mortality", US_national_yearly!$D:$AM, 10, FALSE), 1)</f>
        <v>2.188701278138755E-4</v>
      </c>
      <c r="I2" s="7">
        <f>$B2 * IFERROR(VLOOKUP("buildings|NOx|Premature mortality", US_national_yearly!$D:$AM, 17, FALSE) / VLOOKUP("buildings|NOx|Premature mortality", US_national_yearly!$D:$AM, 10, FALSE), 1)</f>
        <v>2.2223019279539783E-4</v>
      </c>
      <c r="J2" s="7">
        <f>$B2 * IFERROR(VLOOKUP("buildings|NOx|Premature mortality", US_national_yearly!$D:$AM, 18, FALSE) / VLOOKUP("buildings|NOx|Premature mortality", US_national_yearly!$D:$AM, 10, FALSE), 1)</f>
        <v>2.255902577769201E-4</v>
      </c>
      <c r="K2" s="7">
        <f>$B2 * IFERROR(VLOOKUP("buildings|NOx|Premature mortality", US_national_yearly!$D:$AM, 19, FALSE) / VLOOKUP("buildings|NOx|Premature mortality", US_national_yearly!$D:$AM, 10, FALSE), 1)</f>
        <v>2.2895032275844246E-4</v>
      </c>
      <c r="L2" s="7">
        <f>$B2 * IFERROR(VLOOKUP("buildings|NOx|Premature mortality", US_national_yearly!$D:$AM, 20, FALSE) / VLOOKUP("buildings|NOx|Premature mortality", US_national_yearly!$D:$AM, 10, FALSE), 1)</f>
        <v>2.3231038773996479E-4</v>
      </c>
      <c r="M2" s="7">
        <f>$B2 * IFERROR(VLOOKUP("buildings|NOx|Premature mortality", US_national_yearly!$D:$AM, 21, FALSE) / VLOOKUP("buildings|NOx|Premature mortality", US_national_yearly!$D:$AM, 10, FALSE), 1)</f>
        <v>2.3567045272148711E-4</v>
      </c>
      <c r="N2" s="7">
        <f>$B2 * IFERROR(VLOOKUP("buildings|NOx|Premature mortality", US_national_yearly!$D:$AM, 22, FALSE) / VLOOKUP("buildings|NOx|Premature mortality", US_national_yearly!$D:$AM, 10, FALSE), 1)</f>
        <v>2.3816013260872823E-4</v>
      </c>
      <c r="O2" s="7">
        <f>$B2 * IFERROR(VLOOKUP("buildings|NOx|Premature mortality", US_national_yearly!$D:$AM, 23, FALSE) / VLOOKUP("buildings|NOx|Premature mortality", US_national_yearly!$D:$AM, 10, FALSE), 1)</f>
        <v>2.4064981249596941E-4</v>
      </c>
      <c r="P2" s="7">
        <f>$B2 * IFERROR(VLOOKUP("buildings|NOx|Premature mortality", US_national_yearly!$D:$AM, 24, FALSE) / VLOOKUP("buildings|NOx|Premature mortality", US_national_yearly!$D:$AM, 10, FALSE), 1)</f>
        <v>2.4313949238321058E-4</v>
      </c>
      <c r="Q2" s="7">
        <f>$B2 * IFERROR(VLOOKUP("buildings|NOx|Premature mortality", US_national_yearly!$D:$AM, 25, FALSE) / VLOOKUP("buildings|NOx|Premature mortality", US_national_yearly!$D:$AM, 10, FALSE), 1)</f>
        <v>2.4562917227045168E-4</v>
      </c>
      <c r="R2" s="7">
        <f>$B2 * IFERROR(VLOOKUP("buildings|NOx|Premature mortality", US_national_yearly!$D:$AM, 26, FALSE) / VLOOKUP("buildings|NOx|Premature mortality", US_national_yearly!$D:$AM, 10, FALSE), 1)</f>
        <v>2.4811885215769285E-4</v>
      </c>
      <c r="S2" s="7">
        <f>$B2 * IFERROR(VLOOKUP("buildings|NOx|Premature mortality", US_national_yearly!$D:$AM, 27, FALSE) / VLOOKUP("buildings|NOx|Premature mortality", US_national_yearly!$D:$AM, 10, FALSE), 1)</f>
        <v>2.4925075879176793E-4</v>
      </c>
      <c r="T2" s="7">
        <f>$B2 * IFERROR(VLOOKUP("buildings|NOx|Premature mortality", US_national_yearly!$D:$AM, 28, FALSE) / VLOOKUP("buildings|NOx|Premature mortality", US_national_yearly!$D:$AM, 10, FALSE), 1)</f>
        <v>2.503826654258429E-4</v>
      </c>
      <c r="U2" s="7">
        <f>$B2 * IFERROR(VLOOKUP("buildings|NOx|Premature mortality", US_national_yearly!$D:$AM, 29, FALSE) / VLOOKUP("buildings|NOx|Premature mortality", US_national_yearly!$D:$AM, 10, FALSE), 1)</f>
        <v>2.5151457205991798E-4</v>
      </c>
      <c r="V2" s="7">
        <f>$B2 * IFERROR(VLOOKUP("buildings|NOx|Premature mortality", US_national_yearly!$D:$AM, 30, FALSE) / VLOOKUP("buildings|NOx|Premature mortality", US_national_yearly!$D:$AM, 10, FALSE), 1)</f>
        <v>2.5264647869399301E-4</v>
      </c>
      <c r="W2" s="7">
        <f>$B2 * IFERROR(VLOOKUP("buildings|NOx|Premature mortality", US_national_yearly!$D:$AM, 31, FALSE) / VLOOKUP("buildings|NOx|Premature mortality", US_national_yearly!$D:$AM, 10, FALSE), 1)</f>
        <v>2.5377838532806803E-4</v>
      </c>
      <c r="X2" s="7">
        <f>$B2 * IFERROR(VLOOKUP("buildings|NOx|Premature mortality", US_national_yearly!$D:$AM, 32, FALSE) / VLOOKUP("buildings|NOx|Premature mortality", US_national_yearly!$D:$AM, 10, FALSE), 1)</f>
        <v>2.5381825015702541E-4</v>
      </c>
      <c r="Y2" s="7">
        <f>$B2 * IFERROR(VLOOKUP("buildings|NOx|Premature mortality", US_national_yearly!$D:$AM, 33, FALSE) / VLOOKUP("buildings|NOx|Premature mortality", US_national_yearly!$D:$AM, 10, FALSE), 1)</f>
        <v>2.5385811498598279E-4</v>
      </c>
      <c r="Z2" s="7">
        <f>$B2 * IFERROR(VLOOKUP("buildings|NOx|Premature mortality", US_national_yearly!$D:$AM, 34, FALSE) / VLOOKUP("buildings|NOx|Premature mortality", US_national_yearly!$D:$AM, 10, FALSE), 1)</f>
        <v>2.5389797981494017E-4</v>
      </c>
      <c r="AA2" s="7">
        <f>$B2 * IFERROR(VLOOKUP("buildings|NOx|Premature mortality", US_national_yearly!$D:$AM, 35, FALSE) / VLOOKUP("buildings|NOx|Premature mortality", US_national_yearly!$D:$AM, 10, FALSE), 1)</f>
        <v>2.539378446438975E-4</v>
      </c>
      <c r="AB2" s="7">
        <f>$B2 * IFERROR(VLOOKUP("buildings|NOx|Premature mortality", US_national_yearly!$D:$AM, 36, FALSE) / VLOOKUP("buildings|NOx|Premature mortality", US_national_yearly!$D:$AM, 10, FALSE), 1)</f>
        <v>2.5397770947285493E-4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2.53565133341409E-7</v>
      </c>
      <c r="C3" s="7">
        <f>$B3 * IFERROR(VLOOKUP("buildings|NOx|Infant mortality", US_national_yearly!$D:$AM, 11, FALSE) / VLOOKUP("buildings|NOx|Infant mortality", US_national_yearly!$D:$AM, 10, FALSE), 1)</f>
        <v>2.5115656216797712E-7</v>
      </c>
      <c r="D3" s="7">
        <f>$B3 * IFERROR(VLOOKUP("buildings|NOx|Infant mortality", US_national_yearly!$D:$AM, 12, FALSE) / VLOOKUP("buildings|NOx|Infant mortality", US_national_yearly!$D:$AM, 10, FALSE), 1)</f>
        <v>2.4874799099454518E-7</v>
      </c>
      <c r="E3" s="7">
        <f>$B3 * IFERROR(VLOOKUP("buildings|NOx|Infant mortality", US_national_yearly!$D:$AM, 13, FALSE) / VLOOKUP("buildings|NOx|Infant mortality", US_national_yearly!$D:$AM, 10, FALSE), 1)</f>
        <v>2.4633941982111329E-7</v>
      </c>
      <c r="F3" s="7">
        <f>$B3 * IFERROR(VLOOKUP("buildings|NOx|Infant mortality", US_national_yearly!$D:$AM, 14, FALSE) / VLOOKUP("buildings|NOx|Infant mortality", US_national_yearly!$D:$AM, 10, FALSE), 1)</f>
        <v>2.4393084864768135E-7</v>
      </c>
      <c r="G3" s="7">
        <f>$B3 * IFERROR(VLOOKUP("buildings|NOx|Infant mortality", US_national_yearly!$D:$AM, 15, FALSE) / VLOOKUP("buildings|NOx|Infant mortality", US_national_yearly!$D:$AM, 10, FALSE), 1)</f>
        <v>1.6190603874768707E-7</v>
      </c>
      <c r="H3" s="7">
        <f>$B3 * IFERROR(VLOOKUP("buildings|NOx|Infant mortality", US_national_yearly!$D:$AM, 16, FALSE) / VLOOKUP("buildings|NOx|Infant mortality", US_national_yearly!$D:$AM, 10, FALSE), 1)</f>
        <v>7.9881228847692792E-8</v>
      </c>
      <c r="I3" s="7">
        <f>$B3 * IFERROR(VLOOKUP("buildings|NOx|Infant mortality", US_national_yearly!$D:$AM, 17, FALSE) / VLOOKUP("buildings|NOx|Infant mortality", US_national_yearly!$D:$AM, 10, FALSE), 1)</f>
        <v>7.931690324331085E-8</v>
      </c>
      <c r="J3" s="7">
        <f>$B3 * IFERROR(VLOOKUP("buildings|NOx|Infant mortality", US_national_yearly!$D:$AM, 18, FALSE) / VLOOKUP("buildings|NOx|Infant mortality", US_national_yearly!$D:$AM, 10, FALSE), 1)</f>
        <v>7.8752577638928881E-8</v>
      </c>
      <c r="K3" s="7">
        <f>$B3 * IFERROR(VLOOKUP("buildings|NOx|Infant mortality", US_national_yearly!$D:$AM, 19, FALSE) / VLOOKUP("buildings|NOx|Infant mortality", US_national_yearly!$D:$AM, 10, FALSE), 1)</f>
        <v>7.818825203454694E-8</v>
      </c>
      <c r="L3" s="7">
        <f>$B3 * IFERROR(VLOOKUP("buildings|NOx|Infant mortality", US_national_yearly!$D:$AM, 20, FALSE) / VLOOKUP("buildings|NOx|Infant mortality", US_national_yearly!$D:$AM, 10, FALSE), 1)</f>
        <v>7.7623926430164998E-8</v>
      </c>
      <c r="M3" s="7">
        <f>$B3 * IFERROR(VLOOKUP("buildings|NOx|Infant mortality", US_national_yearly!$D:$AM, 21, FALSE) / VLOOKUP("buildings|NOx|Infant mortality", US_national_yearly!$D:$AM, 10, FALSE), 1)</f>
        <v>7.7059600825783043E-8</v>
      </c>
      <c r="N3" s="7">
        <f>$B3 * IFERROR(VLOOKUP("buildings|NOx|Infant mortality", US_national_yearly!$D:$AM, 22, FALSE) / VLOOKUP("buildings|NOx|Infant mortality", US_national_yearly!$D:$AM, 10, FALSE), 1)</f>
        <v>7.668565384430844E-8</v>
      </c>
      <c r="O3" s="7">
        <f>$B3 * IFERROR(VLOOKUP("buildings|NOx|Infant mortality", US_national_yearly!$D:$AM, 23, FALSE) / VLOOKUP("buildings|NOx|Infant mortality", US_national_yearly!$D:$AM, 10, FALSE), 1)</f>
        <v>7.6311706862833825E-8</v>
      </c>
      <c r="P3" s="7">
        <f>$B3 * IFERROR(VLOOKUP("buildings|NOx|Infant mortality", US_national_yearly!$D:$AM, 24, FALSE) / VLOOKUP("buildings|NOx|Infant mortality", US_national_yearly!$D:$AM, 10, FALSE), 1)</f>
        <v>7.5937759881359223E-8</v>
      </c>
      <c r="Q3" s="7">
        <f>$B3 * IFERROR(VLOOKUP("buildings|NOx|Infant mortality", US_national_yearly!$D:$AM, 25, FALSE) / VLOOKUP("buildings|NOx|Infant mortality", US_national_yearly!$D:$AM, 10, FALSE), 1)</f>
        <v>7.5563812899884634E-8</v>
      </c>
      <c r="R3" s="7">
        <f>$B3 * IFERROR(VLOOKUP("buildings|NOx|Infant mortality", US_national_yearly!$D:$AM, 26, FALSE) / VLOOKUP("buildings|NOx|Infant mortality", US_national_yearly!$D:$AM, 10, FALSE), 1)</f>
        <v>7.5189865918410032E-8</v>
      </c>
      <c r="S3" s="7">
        <f>$B3 * IFERROR(VLOOKUP("buildings|NOx|Infant mortality", US_national_yearly!$D:$AM, 27, FALSE) / VLOOKUP("buildings|NOx|Infant mortality", US_national_yearly!$D:$AM, 10, FALSE), 1)</f>
        <v>7.4740031582878072E-8</v>
      </c>
      <c r="T3" s="7">
        <f>$B3 * IFERROR(VLOOKUP("buildings|NOx|Infant mortality", US_national_yearly!$D:$AM, 28, FALSE) / VLOOKUP("buildings|NOx|Infant mortality", US_national_yearly!$D:$AM, 10, FALSE), 1)</f>
        <v>7.429019724734614E-8</v>
      </c>
      <c r="U3" s="7">
        <f>$B3 * IFERROR(VLOOKUP("buildings|NOx|Infant mortality", US_national_yearly!$D:$AM, 29, FALSE) / VLOOKUP("buildings|NOx|Infant mortality", US_national_yearly!$D:$AM, 10, FALSE), 1)</f>
        <v>7.384036291181418E-8</v>
      </c>
      <c r="V3" s="7">
        <f>$B3 * IFERROR(VLOOKUP("buildings|NOx|Infant mortality", US_national_yearly!$D:$AM, 30, FALSE) / VLOOKUP("buildings|NOx|Infant mortality", US_national_yearly!$D:$AM, 10, FALSE), 1)</f>
        <v>7.3390528576282221E-8</v>
      </c>
      <c r="W3" s="7">
        <f>$B3 * IFERROR(VLOOKUP("buildings|NOx|Infant mortality", US_national_yearly!$D:$AM, 31, FALSE) / VLOOKUP("buildings|NOx|Infant mortality", US_national_yearly!$D:$AM, 10, FALSE), 1)</f>
        <v>7.2940694240750288E-8</v>
      </c>
      <c r="X3" s="7">
        <f>$B3 * IFERROR(VLOOKUP("buildings|NOx|Infant mortality", US_national_yearly!$D:$AM, 32, FALSE) / VLOOKUP("buildings|NOx|Infant mortality", US_national_yearly!$D:$AM, 10, FALSE), 1)</f>
        <v>7.2464730088418825E-8</v>
      </c>
      <c r="Y3" s="7">
        <f>$B3 * IFERROR(VLOOKUP("buildings|NOx|Infant mortality", US_national_yearly!$D:$AM, 33, FALSE) / VLOOKUP("buildings|NOx|Infant mortality", US_national_yearly!$D:$AM, 10, FALSE), 1)</f>
        <v>7.1988765936087376E-8</v>
      </c>
      <c r="Z3" s="7">
        <f>$B3 * IFERROR(VLOOKUP("buildings|NOx|Infant mortality", US_national_yearly!$D:$AM, 34, FALSE) / VLOOKUP("buildings|NOx|Infant mortality", US_national_yearly!$D:$AM, 10, FALSE), 1)</f>
        <v>7.1512801783755913E-8</v>
      </c>
      <c r="AA3" s="7">
        <f>$B3 * IFERROR(VLOOKUP("buildings|NOx|Infant mortality", US_national_yearly!$D:$AM, 35, FALSE) / VLOOKUP("buildings|NOx|Infant mortality", US_national_yearly!$D:$AM, 10, FALSE), 1)</f>
        <v>7.1036837631424463E-8</v>
      </c>
      <c r="AB3" s="7">
        <f>$B3 * IFERROR(VLOOKUP("buildings|NOx|Infant mortality", US_national_yearly!$D:$AM, 36, FALSE) / VLOOKUP("buildings|NOx|Infant mortality", US_national_yearly!$D:$AM, 10, FALSE), 1)</f>
        <v>7.0560873479093E-8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3.9385296114813226E-4</v>
      </c>
      <c r="C6" s="7">
        <f>$B6 * IFERROR(VLOOKUP("buildings|NOx|Asthma symptoms cough", US_national_yearly!$D:$AM, 11, FALSE) / VLOOKUP("buildings|NOx|Asthma symptoms cough", US_national_yearly!$D:$AM, 10, FALSE), 1)</f>
        <v>3.9924294619970887E-4</v>
      </c>
      <c r="D6" s="7">
        <f>$B6 * IFERROR(VLOOKUP("buildings|NOx|Asthma symptoms cough", US_national_yearly!$D:$AM, 12, FALSE) / VLOOKUP("buildings|NOx|Asthma symptoms cough", US_national_yearly!$D:$AM, 10, FALSE), 1)</f>
        <v>4.046329312512856E-4</v>
      </c>
      <c r="E6" s="7">
        <f>$B6 * IFERROR(VLOOKUP("buildings|NOx|Asthma symptoms cough", US_national_yearly!$D:$AM, 13, FALSE) / VLOOKUP("buildings|NOx|Asthma symptoms cough", US_national_yearly!$D:$AM, 10, FALSE), 1)</f>
        <v>4.1002291630286221E-4</v>
      </c>
      <c r="F6" s="7">
        <f>$B6 * IFERROR(VLOOKUP("buildings|NOx|Asthma symptoms cough", US_national_yearly!$D:$AM, 14, FALSE) / VLOOKUP("buildings|NOx|Asthma symptoms cough", US_national_yearly!$D:$AM, 10, FALSE), 1)</f>
        <v>4.1541290135443883E-4</v>
      </c>
      <c r="G6" s="7">
        <f>$B6 * IFERROR(VLOOKUP("buildings|NOx|Asthma symptoms cough", US_national_yearly!$D:$AM, 15, FALSE) / VLOOKUP("buildings|NOx|Asthma symptoms cough", US_national_yearly!$D:$AM, 10, FALSE), 1)</f>
        <v>4.1972050938397082E-4</v>
      </c>
      <c r="H6" s="7">
        <f>$B6 * IFERROR(VLOOKUP("buildings|NOx|Asthma symptoms cough", US_national_yearly!$D:$AM, 16, FALSE) / VLOOKUP("buildings|NOx|Asthma symptoms cough", US_national_yearly!$D:$AM, 10, FALSE), 1)</f>
        <v>4.2402811741350282E-4</v>
      </c>
      <c r="I6" s="7">
        <f>$B6 * IFERROR(VLOOKUP("buildings|NOx|Asthma symptoms cough", US_national_yearly!$D:$AM, 17, FALSE) / VLOOKUP("buildings|NOx|Asthma symptoms cough", US_national_yearly!$D:$AM, 10, FALSE), 1)</f>
        <v>4.2551885332793913E-4</v>
      </c>
      <c r="J6" s="7">
        <f>$B6 * IFERROR(VLOOKUP("buildings|NOx|Asthma symptoms cough", US_national_yearly!$D:$AM, 18, FALSE) / VLOOKUP("buildings|NOx|Asthma symptoms cough", US_national_yearly!$D:$AM, 10, FALSE), 1)</f>
        <v>4.2700958924237544E-4</v>
      </c>
      <c r="K6" s="7">
        <f>$B6 * IFERROR(VLOOKUP("buildings|NOx|Asthma symptoms cough", US_national_yearly!$D:$AM, 19, FALSE) / VLOOKUP("buildings|NOx|Asthma symptoms cough", US_national_yearly!$D:$AM, 10, FALSE), 1)</f>
        <v>4.2850032515681169E-4</v>
      </c>
      <c r="L6" s="7">
        <f>$B6 * IFERROR(VLOOKUP("buildings|NOx|Asthma symptoms cough", US_national_yearly!$D:$AM, 20, FALSE) / VLOOKUP("buildings|NOx|Asthma symptoms cough", US_national_yearly!$D:$AM, 10, FALSE), 1)</f>
        <v>4.29991061071248E-4</v>
      </c>
      <c r="M6" s="7">
        <f>$B6 * IFERROR(VLOOKUP("buildings|NOx|Asthma symptoms cough", US_national_yearly!$D:$AM, 21, FALSE) / VLOOKUP("buildings|NOx|Asthma symptoms cough", US_national_yearly!$D:$AM, 10, FALSE), 1)</f>
        <v>4.3148179698568421E-4</v>
      </c>
      <c r="N6" s="7">
        <f>$B6 * IFERROR(VLOOKUP("buildings|NOx|Asthma symptoms cough", US_national_yearly!$D:$AM, 22, FALSE) / VLOOKUP("buildings|NOx|Asthma symptoms cough", US_national_yearly!$D:$AM, 10, FALSE), 1)</f>
        <v>4.3320555327238525E-4</v>
      </c>
      <c r="O6" s="7">
        <f>$B6 * IFERROR(VLOOKUP("buildings|NOx|Asthma symptoms cough", US_national_yearly!$D:$AM, 23, FALSE) / VLOOKUP("buildings|NOx|Asthma symptoms cough", US_national_yearly!$D:$AM, 10, FALSE), 1)</f>
        <v>4.3492930955908618E-4</v>
      </c>
      <c r="P6" s="7">
        <f>$B6 * IFERROR(VLOOKUP("buildings|NOx|Asthma symptoms cough", US_national_yearly!$D:$AM, 24, FALSE) / VLOOKUP("buildings|NOx|Asthma symptoms cough", US_national_yearly!$D:$AM, 10, FALSE), 1)</f>
        <v>4.3665306584578711E-4</v>
      </c>
      <c r="Q6" s="7">
        <f>$B6 * IFERROR(VLOOKUP("buildings|NOx|Asthma symptoms cough", US_national_yearly!$D:$AM, 25, FALSE) / VLOOKUP("buildings|NOx|Asthma symptoms cough", US_national_yearly!$D:$AM, 10, FALSE), 1)</f>
        <v>4.3837682213248815E-4</v>
      </c>
      <c r="R6" s="7">
        <f>$B6 * IFERROR(VLOOKUP("buildings|NOx|Asthma symptoms cough", US_national_yearly!$D:$AM, 26, FALSE) / VLOOKUP("buildings|NOx|Asthma symptoms cough", US_national_yearly!$D:$AM, 10, FALSE), 1)</f>
        <v>4.4010057841918908E-4</v>
      </c>
      <c r="S6" s="7">
        <f>$B6 * IFERROR(VLOOKUP("buildings|NOx|Asthma symptoms cough", US_national_yearly!$D:$AM, 27, FALSE) / VLOOKUP("buildings|NOx|Asthma symptoms cough", US_national_yearly!$D:$AM, 10, FALSE), 1)</f>
        <v>4.4235184066073396E-4</v>
      </c>
      <c r="T6" s="7">
        <f>$B6 * IFERROR(VLOOKUP("buildings|NOx|Asthma symptoms cough", US_national_yearly!$D:$AM, 28, FALSE) / VLOOKUP("buildings|NOx|Asthma symptoms cough", US_national_yearly!$D:$AM, 10, FALSE), 1)</f>
        <v>4.4460310290227867E-4</v>
      </c>
      <c r="U6" s="7">
        <f>$B6 * IFERROR(VLOOKUP("buildings|NOx|Asthma symptoms cough", US_national_yearly!$D:$AM, 29, FALSE) / VLOOKUP("buildings|NOx|Asthma symptoms cough", US_national_yearly!$D:$AM, 10, FALSE), 1)</f>
        <v>4.4685436514382344E-4</v>
      </c>
      <c r="V6" s="7">
        <f>$B6 * IFERROR(VLOOKUP("buildings|NOx|Asthma symptoms cough", US_national_yearly!$D:$AM, 30, FALSE) / VLOOKUP("buildings|NOx|Asthma symptoms cough", US_national_yearly!$D:$AM, 10, FALSE), 1)</f>
        <v>4.4910562738536837E-4</v>
      </c>
      <c r="W6" s="7">
        <f>$B6 * IFERROR(VLOOKUP("buildings|NOx|Asthma symptoms cough", US_national_yearly!$D:$AM, 31, FALSE) / VLOOKUP("buildings|NOx|Asthma symptoms cough", US_national_yearly!$D:$AM, 10, FALSE), 1)</f>
        <v>4.5135688962691308E-4</v>
      </c>
      <c r="X6" s="7">
        <f>$B6 * IFERROR(VLOOKUP("buildings|NOx|Asthma symptoms cough", US_national_yearly!$D:$AM, 32, FALSE) / VLOOKUP("buildings|NOx|Asthma symptoms cough", US_national_yearly!$D:$AM, 10, FALSE), 1)</f>
        <v>4.5344862202899056E-4</v>
      </c>
      <c r="Y6" s="7">
        <f>$B6 * IFERROR(VLOOKUP("buildings|NOx|Asthma symptoms cough", US_national_yearly!$D:$AM, 33, FALSE) / VLOOKUP("buildings|NOx|Asthma symptoms cough", US_national_yearly!$D:$AM, 10, FALSE), 1)</f>
        <v>4.5554035443106809E-4</v>
      </c>
      <c r="Z6" s="7">
        <f>$B6 * IFERROR(VLOOKUP("buildings|NOx|Asthma symptoms cough", US_national_yearly!$D:$AM, 34, FALSE) / VLOOKUP("buildings|NOx|Asthma symptoms cough", US_national_yearly!$D:$AM, 10, FALSE), 1)</f>
        <v>4.5763208683314563E-4</v>
      </c>
      <c r="AA6" s="7">
        <f>$B6 * IFERROR(VLOOKUP("buildings|NOx|Asthma symptoms cough", US_national_yearly!$D:$AM, 35, FALSE) / VLOOKUP("buildings|NOx|Asthma symptoms cough", US_national_yearly!$D:$AM, 10, FALSE), 1)</f>
        <v>4.5972381923522316E-4</v>
      </c>
      <c r="AB6" s="7">
        <f>$B6 * IFERROR(VLOOKUP("buildings|NOx|Asthma symptoms cough", US_national_yearly!$D:$AM, 36, FALSE) / VLOOKUP("buildings|NOx|Asthma symptoms cough", US_national_yearly!$D:$AM, 10, FALSE), 1)</f>
        <v>4.6181555163730064E-4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5.3038022669027809E-4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5.3763862454393448E-4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5.4489702239759075E-4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5.5215542025124713E-4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5.5941381810490341E-4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5.65214638054381E-4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5.7101545800385871E-4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5.7302295044219225E-4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5.7503044288052579E-4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5.7703793531885944E-4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5.7904542775719309E-4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5.8105292019552664E-4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5.8337420841952058E-4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5.8569549664351441E-4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5.8801678486750824E-4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5.9033807309150207E-4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5.9265936131549591E-4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5.956910129458592E-4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5.9872266457622249E-4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6.0175431620658579E-4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6.0478596783694898E-4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6.0781761946731227E-4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6.1063444099350699E-4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6.1345126251970161E-4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6.1626808404589644E-4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6.1908490557209094E-4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6.2190172709828567E-4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8.1033086614022416E-4</v>
      </c>
      <c r="C8" s="7">
        <f>$B8 * IFERROR(VLOOKUP("buildings|NOx|Asthma symptoms wheeze", US_national_yearly!$D:$AM, 11, FALSE) / VLOOKUP("buildings|NOx|Asthma symptoms wheeze", US_national_yearly!$D:$AM, 10, FALSE), 1)</f>
        <v>8.214204647668795E-4</v>
      </c>
      <c r="D8" s="7">
        <f>$B8 * IFERROR(VLOOKUP("buildings|NOx|Asthma symptoms wheeze", US_national_yearly!$D:$AM, 12, FALSE) / VLOOKUP("buildings|NOx|Asthma symptoms wheeze", US_national_yearly!$D:$AM, 10, FALSE), 1)</f>
        <v>8.3251006339353484E-4</v>
      </c>
      <c r="E8" s="7">
        <f>$B8 * IFERROR(VLOOKUP("buildings|NOx|Asthma symptoms wheeze", US_national_yearly!$D:$AM, 13, FALSE) / VLOOKUP("buildings|NOx|Asthma symptoms wheeze", US_national_yearly!$D:$AM, 10, FALSE), 1)</f>
        <v>8.4359966202018997E-4</v>
      </c>
      <c r="F8" s="7">
        <f>$B8 * IFERROR(VLOOKUP("buildings|NOx|Asthma symptoms wheeze", US_national_yearly!$D:$AM, 14, FALSE) / VLOOKUP("buildings|NOx|Asthma symptoms wheeze", US_national_yearly!$D:$AM, 10, FALSE), 1)</f>
        <v>8.5468926064684542E-4</v>
      </c>
      <c r="G8" s="7">
        <f>$B8 * IFERROR(VLOOKUP("buildings|NOx|Asthma symptoms wheeze", US_national_yearly!$D:$AM, 15, FALSE) / VLOOKUP("buildings|NOx|Asthma symptoms wheeze", US_national_yearly!$D:$AM, 10, FALSE), 1)</f>
        <v>8.6355192791443545E-4</v>
      </c>
      <c r="H8" s="7">
        <f>$B8 * IFERROR(VLOOKUP("buildings|NOx|Asthma symptoms wheeze", US_national_yearly!$D:$AM, 16, FALSE) / VLOOKUP("buildings|NOx|Asthma symptoms wheeze", US_national_yearly!$D:$AM, 10, FALSE), 1)</f>
        <v>8.7241459518202537E-4</v>
      </c>
      <c r="I8" s="7">
        <f>$B8 * IFERROR(VLOOKUP("buildings|NOx|Asthma symptoms wheeze", US_national_yearly!$D:$AM, 17, FALSE) / VLOOKUP("buildings|NOx|Asthma symptoms wheeze", US_national_yearly!$D:$AM, 10, FALSE), 1)</f>
        <v>8.7548170256620574E-4</v>
      </c>
      <c r="J8" s="7">
        <f>$B8 * IFERROR(VLOOKUP("buildings|NOx|Asthma symptoms wheeze", US_national_yearly!$D:$AM, 18, FALSE) / VLOOKUP("buildings|NOx|Asthma symptoms wheeze", US_national_yearly!$D:$AM, 10, FALSE), 1)</f>
        <v>8.785488099503861E-4</v>
      </c>
      <c r="K8" s="7">
        <f>$B8 * IFERROR(VLOOKUP("buildings|NOx|Asthma symptoms wheeze", US_national_yearly!$D:$AM, 19, FALSE) / VLOOKUP("buildings|NOx|Asthma symptoms wheeze", US_national_yearly!$D:$AM, 10, FALSE), 1)</f>
        <v>8.8161591733456636E-4</v>
      </c>
      <c r="L8" s="7">
        <f>$B8 * IFERROR(VLOOKUP("buildings|NOx|Asthma symptoms wheeze", US_national_yearly!$D:$AM, 20, FALSE) / VLOOKUP("buildings|NOx|Asthma symptoms wheeze", US_national_yearly!$D:$AM, 10, FALSE), 1)</f>
        <v>8.8468302471874662E-4</v>
      </c>
      <c r="M8" s="7">
        <f>$B8 * IFERROR(VLOOKUP("buildings|NOx|Asthma symptoms wheeze", US_national_yearly!$D:$AM, 21, FALSE) / VLOOKUP("buildings|NOx|Asthma symptoms wheeze", US_national_yearly!$D:$AM, 10, FALSE), 1)</f>
        <v>8.877501321029271E-4</v>
      </c>
      <c r="N8" s="7">
        <f>$B8 * IFERROR(VLOOKUP("buildings|NOx|Asthma symptoms wheeze", US_national_yearly!$D:$AM, 22, FALSE) / VLOOKUP("buildings|NOx|Asthma symptoms wheeze", US_national_yearly!$D:$AM, 10, FALSE), 1)</f>
        <v>8.9129666612311443E-4</v>
      </c>
      <c r="O8" s="7">
        <f>$B8 * IFERROR(VLOOKUP("buildings|NOx|Asthma symptoms wheeze", US_national_yearly!$D:$AM, 23, FALSE) / VLOOKUP("buildings|NOx|Asthma symptoms wheeze", US_national_yearly!$D:$AM, 10, FALSE), 1)</f>
        <v>8.9484320014330198E-4</v>
      </c>
      <c r="P8" s="7">
        <f>$B8 * IFERROR(VLOOKUP("buildings|NOx|Asthma symptoms wheeze", US_national_yearly!$D:$AM, 24, FALSE) / VLOOKUP("buildings|NOx|Asthma symptoms wheeze", US_national_yearly!$D:$AM, 10, FALSE), 1)</f>
        <v>8.9838973416348931E-4</v>
      </c>
      <c r="Q8" s="7">
        <f>$B8 * IFERROR(VLOOKUP("buildings|NOx|Asthma symptoms wheeze", US_national_yearly!$D:$AM, 25, FALSE) / VLOOKUP("buildings|NOx|Asthma symptoms wheeze", US_national_yearly!$D:$AM, 10, FALSE), 1)</f>
        <v>9.0193626818367686E-4</v>
      </c>
      <c r="R8" s="7">
        <f>$B8 * IFERROR(VLOOKUP("buildings|NOx|Asthma symptoms wheeze", US_national_yearly!$D:$AM, 26, FALSE) / VLOOKUP("buildings|NOx|Asthma symptoms wheeze", US_national_yearly!$D:$AM, 10, FALSE), 1)</f>
        <v>9.054828022038642E-4</v>
      </c>
      <c r="S8" s="7">
        <f>$B8 * IFERROR(VLOOKUP("buildings|NOx|Asthma symptoms wheeze", US_national_yearly!$D:$AM, 27, FALSE) / VLOOKUP("buildings|NOx|Asthma symptoms wheeze", US_national_yearly!$D:$AM, 10, FALSE), 1)</f>
        <v>9.1011465079608484E-4</v>
      </c>
      <c r="T8" s="7">
        <f>$B8 * IFERROR(VLOOKUP("buildings|NOx|Asthma symptoms wheeze", US_national_yearly!$D:$AM, 28, FALSE) / VLOOKUP("buildings|NOx|Asthma symptoms wheeze", US_national_yearly!$D:$AM, 10, FALSE), 1)</f>
        <v>9.1474649938830537E-4</v>
      </c>
      <c r="U8" s="7">
        <f>$B8 * IFERROR(VLOOKUP("buildings|NOx|Asthma symptoms wheeze", US_national_yearly!$D:$AM, 29, FALSE) / VLOOKUP("buildings|NOx|Asthma symptoms wheeze", US_national_yearly!$D:$AM, 10, FALSE), 1)</f>
        <v>9.1937834798052601E-4</v>
      </c>
      <c r="V8" s="7">
        <f>$B8 * IFERROR(VLOOKUP("buildings|NOx|Asthma symptoms wheeze", US_national_yearly!$D:$AM, 30, FALSE) / VLOOKUP("buildings|NOx|Asthma symptoms wheeze", US_national_yearly!$D:$AM, 10, FALSE), 1)</f>
        <v>9.2401019657274664E-4</v>
      </c>
      <c r="W8" s="7">
        <f>$B8 * IFERROR(VLOOKUP("buildings|NOx|Asthma symptoms wheeze", US_national_yearly!$D:$AM, 31, FALSE) / VLOOKUP("buildings|NOx|Asthma symptoms wheeze", US_national_yearly!$D:$AM, 10, FALSE), 1)</f>
        <v>9.2864204516496728E-4</v>
      </c>
      <c r="X8" s="7">
        <f>$B8 * IFERROR(VLOOKUP("buildings|NOx|Asthma symptoms wheeze", US_national_yearly!$D:$AM, 32, FALSE) / VLOOKUP("buildings|NOx|Asthma symptoms wheeze", US_national_yearly!$D:$AM, 10, FALSE), 1)</f>
        <v>9.3294566986206829E-4</v>
      </c>
      <c r="Y8" s="7">
        <f>$B8 * IFERROR(VLOOKUP("buildings|NOx|Asthma symptoms wheeze", US_national_yearly!$D:$AM, 33, FALSE) / VLOOKUP("buildings|NOx|Asthma symptoms wheeze", US_national_yearly!$D:$AM, 10, FALSE), 1)</f>
        <v>9.3724929455916929E-4</v>
      </c>
      <c r="Z8" s="7">
        <f>$B8 * IFERROR(VLOOKUP("buildings|NOx|Asthma symptoms wheeze", US_national_yearly!$D:$AM, 34, FALSE) / VLOOKUP("buildings|NOx|Asthma symptoms wheeze", US_national_yearly!$D:$AM, 10, FALSE), 1)</f>
        <v>9.415529192562704E-4</v>
      </c>
      <c r="AA8" s="7">
        <f>$B8 * IFERROR(VLOOKUP("buildings|NOx|Asthma symptoms wheeze", US_national_yearly!$D:$AM, 35, FALSE) / VLOOKUP("buildings|NOx|Asthma symptoms wheeze", US_national_yearly!$D:$AM, 10, FALSE), 1)</f>
        <v>9.4585654395337141E-4</v>
      </c>
      <c r="AB8" s="7">
        <f>$B8 * IFERROR(VLOOKUP("buildings|NOx|Asthma symptoms wheeze", US_national_yearly!$D:$AM, 36, FALSE) / VLOOKUP("buildings|NOx|Asthma symptoms wheeze", US_national_yearly!$D:$AM, 10, FALSE), 1)</f>
        <v>9.5016016865047263E-4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1.4619638984816789E-5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1.498490116924449E-5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1.535016335367219E-5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1.5715425538099893E-5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1.6080687722527592E-5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1.6429889485689461E-5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1.6779091248851323E-5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1.7075729919371095E-5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1.737236858989087E-5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1.7669007260410643E-5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1.7965645930930415E-5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1.8262284601450187E-5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1.8460585920525222E-5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1.865888723960026E-5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1.8857188558675295E-5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1.9055489877750333E-5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1.9253791196825368E-5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1.9360114358823173E-5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1.9466437520820981E-5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1.9572760682818786E-5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1.9679083844816594E-5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1.9785407006814395E-5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1.9858190228015525E-5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1.9930973449216652E-5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2.0003756670417782E-5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2.0076539891618908E-5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2.0149323112820035E-5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6.7794253628194817E-5</v>
      </c>
      <c r="C13" s="7">
        <f>$B13 * IFERROR(VLOOKUP("buildings|NOx|Non-fatal heart attacks", US_national_yearly!$D:$AM, 11, FALSE) / VLOOKUP("buildings|NOx|Non-fatal heart attacks", US_national_yearly!$D:$AM, 10, FALSE), 1)</f>
        <v>6.9733709001299773E-5</v>
      </c>
      <c r="D13" s="7">
        <f>$B13 * IFERROR(VLOOKUP("buildings|NOx|Non-fatal heart attacks", US_national_yearly!$D:$AM, 12, FALSE) / VLOOKUP("buildings|NOx|Non-fatal heart attacks", US_national_yearly!$D:$AM, 10, FALSE), 1)</f>
        <v>7.1673164374404756E-5</v>
      </c>
      <c r="E13" s="7">
        <f>$B13 * IFERROR(VLOOKUP("buildings|NOx|Non-fatal heart attacks", US_national_yearly!$D:$AM, 13, FALSE) / VLOOKUP("buildings|NOx|Non-fatal heart attacks", US_national_yearly!$D:$AM, 10, FALSE), 1)</f>
        <v>7.3612619747509726E-5</v>
      </c>
      <c r="F13" s="7">
        <f>$B13 * IFERROR(VLOOKUP("buildings|NOx|Non-fatal heart attacks", US_national_yearly!$D:$AM, 14, FALSE) / VLOOKUP("buildings|NOx|Non-fatal heart attacks", US_national_yearly!$D:$AM, 10, FALSE), 1)</f>
        <v>7.5552075120614682E-5</v>
      </c>
      <c r="G13" s="7">
        <f>$B13 * IFERROR(VLOOKUP("buildings|NOx|Non-fatal heart attacks", US_national_yearly!$D:$AM, 15, FALSE) / VLOOKUP("buildings|NOx|Non-fatal heart attacks", US_national_yearly!$D:$AM, 10, FALSE), 1)</f>
        <v>7.7364877534615083E-5</v>
      </c>
      <c r="H13" s="7">
        <f>$B13 * IFERROR(VLOOKUP("buildings|NOx|Non-fatal heart attacks", US_national_yearly!$D:$AM, 16, FALSE) / VLOOKUP("buildings|NOx|Non-fatal heart attacks", US_national_yearly!$D:$AM, 10, FALSE), 1)</f>
        <v>7.9177679948615496E-5</v>
      </c>
      <c r="I13" s="7">
        <f>$B13 * IFERROR(VLOOKUP("buildings|NOx|Non-fatal heart attacks", US_national_yearly!$D:$AM, 17, FALSE) / VLOOKUP("buildings|NOx|Non-fatal heart attacks", US_national_yearly!$D:$AM, 10, FALSE), 1)</f>
        <v>8.0607850740777083E-5</v>
      </c>
      <c r="J13" s="7">
        <f>$B13 * IFERROR(VLOOKUP("buildings|NOx|Non-fatal heart attacks", US_national_yearly!$D:$AM, 18, FALSE) / VLOOKUP("buildings|NOx|Non-fatal heart attacks", US_national_yearly!$D:$AM, 10, FALSE), 1)</f>
        <v>8.2038021532938684E-5</v>
      </c>
      <c r="K13" s="7">
        <f>$B13 * IFERROR(VLOOKUP("buildings|NOx|Non-fatal heart attacks", US_national_yearly!$D:$AM, 19, FALSE) / VLOOKUP("buildings|NOx|Non-fatal heart attacks", US_national_yearly!$D:$AM, 10, FALSE), 1)</f>
        <v>8.3468192325100298E-5</v>
      </c>
      <c r="L13" s="7">
        <f>$B13 * IFERROR(VLOOKUP("buildings|NOx|Non-fatal heart attacks", US_national_yearly!$D:$AM, 20, FALSE) / VLOOKUP("buildings|NOx|Non-fatal heart attacks", US_national_yearly!$D:$AM, 10, FALSE), 1)</f>
        <v>8.4898363117261844E-5</v>
      </c>
      <c r="M13" s="7">
        <f>$B13 * IFERROR(VLOOKUP("buildings|NOx|Non-fatal heart attacks", US_national_yearly!$D:$AM, 21, FALSE) / VLOOKUP("buildings|NOx|Non-fatal heart attacks", US_national_yearly!$D:$AM, 10, FALSE), 1)</f>
        <v>8.6328533909423458E-5</v>
      </c>
      <c r="N13" s="7">
        <f>$B13 * IFERROR(VLOOKUP("buildings|NOx|Non-fatal heart attacks", US_national_yearly!$D:$AM, 22, FALSE) / VLOOKUP("buildings|NOx|Non-fatal heart attacks", US_national_yearly!$D:$AM, 10, FALSE), 1)</f>
        <v>8.7189254046385418E-5</v>
      </c>
      <c r="O13" s="7">
        <f>$B13 * IFERROR(VLOOKUP("buildings|NOx|Non-fatal heart attacks", US_national_yearly!$D:$AM, 23, FALSE) / VLOOKUP("buildings|NOx|Non-fatal heart attacks", US_national_yearly!$D:$AM, 10, FALSE), 1)</f>
        <v>8.8049974183347364E-5</v>
      </c>
      <c r="P13" s="7">
        <f>$B13 * IFERROR(VLOOKUP("buildings|NOx|Non-fatal heart attacks", US_national_yearly!$D:$AM, 24, FALSE) / VLOOKUP("buildings|NOx|Non-fatal heart attacks", US_national_yearly!$D:$AM, 10, FALSE), 1)</f>
        <v>8.8910694320309323E-5</v>
      </c>
      <c r="Q13" s="7">
        <f>$B13 * IFERROR(VLOOKUP("buildings|NOx|Non-fatal heart attacks", US_national_yearly!$D:$AM, 25, FALSE) / VLOOKUP("buildings|NOx|Non-fatal heart attacks", US_national_yearly!$D:$AM, 10, FALSE), 1)</f>
        <v>8.9771414457271283E-5</v>
      </c>
      <c r="R13" s="7">
        <f>$B13 * IFERROR(VLOOKUP("buildings|NOx|Non-fatal heart attacks", US_national_yearly!$D:$AM, 26, FALSE) / VLOOKUP("buildings|NOx|Non-fatal heart attacks", US_national_yearly!$D:$AM, 10, FALSE), 1)</f>
        <v>9.0632134594233242E-5</v>
      </c>
      <c r="S13" s="7">
        <f>$B13 * IFERROR(VLOOKUP("buildings|NOx|Non-fatal heart attacks", US_national_yearly!$D:$AM, 27, FALSE) / VLOOKUP("buildings|NOx|Non-fatal heart attacks", US_national_yearly!$D:$AM, 10, FALSE), 1)</f>
        <v>9.1023279590652563E-5</v>
      </c>
      <c r="T13" s="7">
        <f>$B13 * IFERROR(VLOOKUP("buildings|NOx|Non-fatal heart attacks", US_national_yearly!$D:$AM, 28, FALSE) / VLOOKUP("buildings|NOx|Non-fatal heart attacks", US_national_yearly!$D:$AM, 10, FALSE), 1)</f>
        <v>9.1414424587071925E-5</v>
      </c>
      <c r="U13" s="7">
        <f>$B13 * IFERROR(VLOOKUP("buildings|NOx|Non-fatal heart attacks", US_national_yearly!$D:$AM, 29, FALSE) / VLOOKUP("buildings|NOx|Non-fatal heart attacks", US_national_yearly!$D:$AM, 10, FALSE), 1)</f>
        <v>9.1805569583491259E-5</v>
      </c>
      <c r="V13" s="7">
        <f>$B13 * IFERROR(VLOOKUP("buildings|NOx|Non-fatal heart attacks", US_national_yearly!$D:$AM, 30, FALSE) / VLOOKUP("buildings|NOx|Non-fatal heart attacks", US_national_yearly!$D:$AM, 10, FALSE), 1)</f>
        <v>9.2196714579910593E-5</v>
      </c>
      <c r="W13" s="7">
        <f>$B13 * IFERROR(VLOOKUP("buildings|NOx|Non-fatal heart attacks", US_national_yearly!$D:$AM, 31, FALSE) / VLOOKUP("buildings|NOx|Non-fatal heart attacks", US_national_yearly!$D:$AM, 10, FALSE), 1)</f>
        <v>9.2587859576329941E-5</v>
      </c>
      <c r="X13" s="7">
        <f>$B13 * IFERROR(VLOOKUP("buildings|NOx|Non-fatal heart attacks", US_national_yearly!$D:$AM, 32, FALSE) / VLOOKUP("buildings|NOx|Non-fatal heart attacks", US_national_yearly!$D:$AM, 10, FALSE), 1)</f>
        <v>9.2849503727411201E-5</v>
      </c>
      <c r="Y13" s="7">
        <f>$B13 * IFERROR(VLOOKUP("buildings|NOx|Non-fatal heart attacks", US_national_yearly!$D:$AM, 33, FALSE) / VLOOKUP("buildings|NOx|Non-fatal heart attacks", US_national_yearly!$D:$AM, 10, FALSE), 1)</f>
        <v>9.3111147878492461E-5</v>
      </c>
      <c r="Z13" s="7">
        <f>$B13 * IFERROR(VLOOKUP("buildings|NOx|Non-fatal heart attacks", US_national_yearly!$D:$AM, 34, FALSE) / VLOOKUP("buildings|NOx|Non-fatal heart attacks", US_national_yearly!$D:$AM, 10, FALSE), 1)</f>
        <v>9.3372792029573735E-5</v>
      </c>
      <c r="AA13" s="7">
        <f>$B13 * IFERROR(VLOOKUP("buildings|NOx|Non-fatal heart attacks", US_national_yearly!$D:$AM, 35, FALSE) / VLOOKUP("buildings|NOx|Non-fatal heart attacks", US_national_yearly!$D:$AM, 10, FALSE), 1)</f>
        <v>9.3634436180654995E-5</v>
      </c>
      <c r="AB13" s="7">
        <f>$B13 * IFERROR(VLOOKUP("buildings|NOx|Non-fatal heart attacks", US_national_yearly!$D:$AM, 36, FALSE) / VLOOKUP("buildings|NOx|Non-fatal heart attacks", US_national_yearly!$D:$AM, 10, FALSE), 1)</f>
        <v>9.3896080331736268E-5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5.6626077877796936E-2</v>
      </c>
      <c r="C14" s="7">
        <f>$B14 * IFERROR(VLOOKUP("buildings|NOx|Minor restricted activity days", US_national_yearly!$D:$AM, 11, FALSE) / VLOOKUP("buildings|NOx|Minor restricted activity days", US_national_yearly!$D:$AM, 10, FALSE), 1)</f>
        <v>5.671394815899744E-2</v>
      </c>
      <c r="D14" s="7">
        <f>$B14 * IFERROR(VLOOKUP("buildings|NOx|Minor restricted activity days", US_national_yearly!$D:$AM, 12, FALSE) / VLOOKUP("buildings|NOx|Minor restricted activity days", US_national_yearly!$D:$AM, 10, FALSE), 1)</f>
        <v>5.6801818440197951E-2</v>
      </c>
      <c r="E14" s="7">
        <f>$B14 * IFERROR(VLOOKUP("buildings|NOx|Minor restricted activity days", US_national_yearly!$D:$AM, 13, FALSE) / VLOOKUP("buildings|NOx|Minor restricted activity days", US_national_yearly!$D:$AM, 10, FALSE), 1)</f>
        <v>5.6889688721398456E-2</v>
      </c>
      <c r="F14" s="7">
        <f>$B14 * IFERROR(VLOOKUP("buildings|NOx|Minor restricted activity days", US_national_yearly!$D:$AM, 14, FALSE) / VLOOKUP("buildings|NOx|Minor restricted activity days", US_national_yearly!$D:$AM, 10, FALSE), 1)</f>
        <v>5.697755900259896E-2</v>
      </c>
      <c r="G14" s="7">
        <f>$B14 * IFERROR(VLOOKUP("buildings|NOx|Minor restricted activity days", US_national_yearly!$D:$AM, 15, FALSE) / VLOOKUP("buildings|NOx|Minor restricted activity days", US_national_yearly!$D:$AM, 10, FALSE), 1)</f>
        <v>5.7135418115258525E-2</v>
      </c>
      <c r="H14" s="7">
        <f>$B14 * IFERROR(VLOOKUP("buildings|NOx|Minor restricted activity days", US_national_yearly!$D:$AM, 16, FALSE) / VLOOKUP("buildings|NOx|Minor restricted activity days", US_national_yearly!$D:$AM, 10, FALSE), 1)</f>
        <v>5.7293277227918091E-2</v>
      </c>
      <c r="I14" s="7">
        <f>$B14 * IFERROR(VLOOKUP("buildings|NOx|Minor restricted activity days", US_national_yearly!$D:$AM, 17, FALSE) / VLOOKUP("buildings|NOx|Minor restricted activity days", US_national_yearly!$D:$AM, 10, FALSE), 1)</f>
        <v>5.7601057460172064E-2</v>
      </c>
      <c r="J14" s="7">
        <f>$B14 * IFERROR(VLOOKUP("buildings|NOx|Minor restricted activity days", US_national_yearly!$D:$AM, 18, FALSE) / VLOOKUP("buildings|NOx|Minor restricted activity days", US_national_yearly!$D:$AM, 10, FALSE), 1)</f>
        <v>5.7908837692426031E-2</v>
      </c>
      <c r="K14" s="7">
        <f>$B14 * IFERROR(VLOOKUP("buildings|NOx|Minor restricted activity days", US_national_yearly!$D:$AM, 19, FALSE) / VLOOKUP("buildings|NOx|Minor restricted activity days", US_national_yearly!$D:$AM, 10, FALSE), 1)</f>
        <v>5.8216617924679998E-2</v>
      </c>
      <c r="L14" s="7">
        <f>$B14 * IFERROR(VLOOKUP("buildings|NOx|Minor restricted activity days", US_national_yearly!$D:$AM, 20, FALSE) / VLOOKUP("buildings|NOx|Minor restricted activity days", US_national_yearly!$D:$AM, 10, FALSE), 1)</f>
        <v>5.8524398156933964E-2</v>
      </c>
      <c r="M14" s="7">
        <f>$B14 * IFERROR(VLOOKUP("buildings|NOx|Minor restricted activity days", US_national_yearly!$D:$AM, 21, FALSE) / VLOOKUP("buildings|NOx|Minor restricted activity days", US_national_yearly!$D:$AM, 10, FALSE), 1)</f>
        <v>5.8832178389187931E-2</v>
      </c>
      <c r="N14" s="7">
        <f>$B14 * IFERROR(VLOOKUP("buildings|NOx|Minor restricted activity days", US_national_yearly!$D:$AM, 22, FALSE) / VLOOKUP("buildings|NOx|Minor restricted activity days", US_national_yearly!$D:$AM, 10, FALSE), 1)</f>
        <v>5.9272491339426324E-2</v>
      </c>
      <c r="O14" s="7">
        <f>$B14 * IFERROR(VLOOKUP("buildings|NOx|Minor restricted activity days", US_national_yearly!$D:$AM, 23, FALSE) / VLOOKUP("buildings|NOx|Minor restricted activity days", US_national_yearly!$D:$AM, 10, FALSE), 1)</f>
        <v>5.9712804289664703E-2</v>
      </c>
      <c r="P14" s="7">
        <f>$B14 * IFERROR(VLOOKUP("buildings|NOx|Minor restricted activity days", US_national_yearly!$D:$AM, 24, FALSE) / VLOOKUP("buildings|NOx|Minor restricted activity days", US_national_yearly!$D:$AM, 10, FALSE), 1)</f>
        <v>6.0153117239903096E-2</v>
      </c>
      <c r="Q14" s="7">
        <f>$B14 * IFERROR(VLOOKUP("buildings|NOx|Minor restricted activity days", US_national_yearly!$D:$AM, 25, FALSE) / VLOOKUP("buildings|NOx|Minor restricted activity days", US_national_yearly!$D:$AM, 10, FALSE), 1)</f>
        <v>6.0593430190141483E-2</v>
      </c>
      <c r="R14" s="7">
        <f>$B14 * IFERROR(VLOOKUP("buildings|NOx|Minor restricted activity days", US_national_yearly!$D:$AM, 26, FALSE) / VLOOKUP("buildings|NOx|Minor restricted activity days", US_national_yearly!$D:$AM, 10, FALSE), 1)</f>
        <v>6.1033743140379862E-2</v>
      </c>
      <c r="S14" s="7">
        <f>$B14 * IFERROR(VLOOKUP("buildings|NOx|Minor restricted activity days", US_national_yearly!$D:$AM, 27, FALSE) / VLOOKUP("buildings|NOx|Minor restricted activity days", US_national_yearly!$D:$AM, 10, FALSE), 1)</f>
        <v>6.1473929336474956E-2</v>
      </c>
      <c r="T14" s="7">
        <f>$B14 * IFERROR(VLOOKUP("buildings|NOx|Minor restricted activity days", US_national_yearly!$D:$AM, 28, FALSE) / VLOOKUP("buildings|NOx|Minor restricted activity days", US_national_yearly!$D:$AM, 10, FALSE), 1)</f>
        <v>6.1914115532570049E-2</v>
      </c>
      <c r="U14" s="7">
        <f>$B14 * IFERROR(VLOOKUP("buildings|NOx|Minor restricted activity days", US_national_yearly!$D:$AM, 29, FALSE) / VLOOKUP("buildings|NOx|Minor restricted activity days", US_national_yearly!$D:$AM, 10, FALSE), 1)</f>
        <v>6.2354301728665157E-2</v>
      </c>
      <c r="V14" s="7">
        <f>$B14 * IFERROR(VLOOKUP("buildings|NOx|Minor restricted activity days", US_national_yearly!$D:$AM, 30, FALSE) / VLOOKUP("buildings|NOx|Minor restricted activity days", US_national_yearly!$D:$AM, 10, FALSE), 1)</f>
        <v>6.2794487924760251E-2</v>
      </c>
      <c r="W14" s="7">
        <f>$B14 * IFERROR(VLOOKUP("buildings|NOx|Minor restricted activity days", US_national_yearly!$D:$AM, 31, FALSE) / VLOOKUP("buildings|NOx|Minor restricted activity days", US_national_yearly!$D:$AM, 10, FALSE), 1)</f>
        <v>6.3234674120855344E-2</v>
      </c>
      <c r="X14" s="7">
        <f>$B14 * IFERROR(VLOOKUP("buildings|NOx|Minor restricted activity days", US_national_yearly!$D:$AM, 32, FALSE) / VLOOKUP("buildings|NOx|Minor restricted activity days", US_national_yearly!$D:$AM, 10, FALSE), 1)</f>
        <v>6.360695766837042E-2</v>
      </c>
      <c r="Y14" s="7">
        <f>$B14 * IFERROR(VLOOKUP("buildings|NOx|Minor restricted activity days", US_national_yearly!$D:$AM, 33, FALSE) / VLOOKUP("buildings|NOx|Minor restricted activity days", US_national_yearly!$D:$AM, 10, FALSE), 1)</f>
        <v>6.397924121588551E-2</v>
      </c>
      <c r="Z14" s="7">
        <f>$B14 * IFERROR(VLOOKUP("buildings|NOx|Minor restricted activity days", US_national_yearly!$D:$AM, 34, FALSE) / VLOOKUP("buildings|NOx|Minor restricted activity days", US_national_yearly!$D:$AM, 10, FALSE), 1)</f>
        <v>6.4351524763400586E-2</v>
      </c>
      <c r="AA14" s="7">
        <f>$B14 * IFERROR(VLOOKUP("buildings|NOx|Minor restricted activity days", US_national_yearly!$D:$AM, 35, FALSE) / VLOOKUP("buildings|NOx|Minor restricted activity days", US_national_yearly!$D:$AM, 10, FALSE), 1)</f>
        <v>6.4723808310915676E-2</v>
      </c>
      <c r="AB14" s="7">
        <f>$B14 * IFERROR(VLOOKUP("buildings|NOx|Minor restricted activity days", US_national_yearly!$D:$AM, 36, FALSE) / VLOOKUP("buildings|NOx|Minor restricted activity days", US_national_yearly!$D:$AM, 10, FALSE), 1)</f>
        <v>6.5096091858430766E-2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9.4969493107807338E-3</v>
      </c>
      <c r="C15" s="7">
        <f>$B15 * IFERROR(VLOOKUP("buildings|NOx|Work loss days", US_national_yearly!$D:$AM, 11, FALSE) / VLOOKUP("buildings|NOx|Work loss days", US_national_yearly!$D:$AM, 10, FALSE), 1)</f>
        <v>9.5182389550273333E-3</v>
      </c>
      <c r="D15" s="7">
        <f>$B15 * IFERROR(VLOOKUP("buildings|NOx|Work loss days", US_national_yearly!$D:$AM, 12, FALSE) / VLOOKUP("buildings|NOx|Work loss days", US_national_yearly!$D:$AM, 10, FALSE), 1)</f>
        <v>9.5395285992739311E-3</v>
      </c>
      <c r="E15" s="7">
        <f>$B15 * IFERROR(VLOOKUP("buildings|NOx|Work loss days", US_national_yearly!$D:$AM, 13, FALSE) / VLOOKUP("buildings|NOx|Work loss days", US_national_yearly!$D:$AM, 10, FALSE), 1)</f>
        <v>9.5608182435205288E-3</v>
      </c>
      <c r="F15" s="7">
        <f>$B15 * IFERROR(VLOOKUP("buildings|NOx|Work loss days", US_national_yearly!$D:$AM, 14, FALSE) / VLOOKUP("buildings|NOx|Work loss days", US_national_yearly!$D:$AM, 10, FALSE), 1)</f>
        <v>9.5821078877671283E-3</v>
      </c>
      <c r="G15" s="7">
        <f>$B15 * IFERROR(VLOOKUP("buildings|NOx|Work loss days", US_national_yearly!$D:$AM, 15, FALSE) / VLOOKUP("buildings|NOx|Work loss days", US_national_yearly!$D:$AM, 10, FALSE), 1)</f>
        <v>9.6131186415026344E-3</v>
      </c>
      <c r="H15" s="7">
        <f>$B15 * IFERROR(VLOOKUP("buildings|NOx|Work loss days", US_national_yearly!$D:$AM, 16, FALSE) / VLOOKUP("buildings|NOx|Work loss days", US_national_yearly!$D:$AM, 10, FALSE), 1)</f>
        <v>9.6441293952381421E-3</v>
      </c>
      <c r="I15" s="7">
        <f>$B15 * IFERROR(VLOOKUP("buildings|NOx|Work loss days", US_national_yearly!$D:$AM, 17, FALSE) / VLOOKUP("buildings|NOx|Work loss days", US_national_yearly!$D:$AM, 10, FALSE), 1)</f>
        <v>9.6942831312276014E-3</v>
      </c>
      <c r="J15" s="7">
        <f>$B15 * IFERROR(VLOOKUP("buildings|NOx|Work loss days", US_national_yearly!$D:$AM, 18, FALSE) / VLOOKUP("buildings|NOx|Work loss days", US_national_yearly!$D:$AM, 10, FALSE), 1)</f>
        <v>9.744436867217059E-3</v>
      </c>
      <c r="K15" s="7">
        <f>$B15 * IFERROR(VLOOKUP("buildings|NOx|Work loss days", US_national_yearly!$D:$AM, 19, FALSE) / VLOOKUP("buildings|NOx|Work loss days", US_national_yearly!$D:$AM, 10, FALSE), 1)</f>
        <v>9.7945906032065183E-3</v>
      </c>
      <c r="L15" s="7">
        <f>$B15 * IFERROR(VLOOKUP("buildings|NOx|Work loss days", US_national_yearly!$D:$AM, 20, FALSE) / VLOOKUP("buildings|NOx|Work loss days", US_national_yearly!$D:$AM, 10, FALSE), 1)</f>
        <v>9.8447443391959776E-3</v>
      </c>
      <c r="M15" s="7">
        <f>$B15 * IFERROR(VLOOKUP("buildings|NOx|Work loss days", US_national_yearly!$D:$AM, 21, FALSE) / VLOOKUP("buildings|NOx|Work loss days", US_national_yearly!$D:$AM, 10, FALSE), 1)</f>
        <v>9.8948980751854352E-3</v>
      </c>
      <c r="N15" s="7">
        <f>$B15 * IFERROR(VLOOKUP("buildings|NOx|Work loss days", US_national_yearly!$D:$AM, 22, FALSE) / VLOOKUP("buildings|NOx|Work loss days", US_national_yearly!$D:$AM, 10, FALSE), 1)</f>
        <v>9.9601481684354985E-3</v>
      </c>
      <c r="O15" s="7">
        <f>$B15 * IFERROR(VLOOKUP("buildings|NOx|Work loss days", US_national_yearly!$D:$AM, 23, FALSE) / VLOOKUP("buildings|NOx|Work loss days", US_national_yearly!$D:$AM, 10, FALSE), 1)</f>
        <v>1.0025398261685562E-2</v>
      </c>
      <c r="P15" s="7">
        <f>$B15 * IFERROR(VLOOKUP("buildings|NOx|Work loss days", US_national_yearly!$D:$AM, 24, FALSE) / VLOOKUP("buildings|NOx|Work loss days", US_national_yearly!$D:$AM, 10, FALSE), 1)</f>
        <v>1.0090648354935625E-2</v>
      </c>
      <c r="Q15" s="7">
        <f>$B15 * IFERROR(VLOOKUP("buildings|NOx|Work loss days", US_national_yearly!$D:$AM, 25, FALSE) / VLOOKUP("buildings|NOx|Work loss days", US_national_yearly!$D:$AM, 10, FALSE), 1)</f>
        <v>1.015589844818569E-2</v>
      </c>
      <c r="R15" s="7">
        <f>$B15 * IFERROR(VLOOKUP("buildings|NOx|Work loss days", US_national_yearly!$D:$AM, 26, FALSE) / VLOOKUP("buildings|NOx|Work loss days", US_national_yearly!$D:$AM, 10, FALSE), 1)</f>
        <v>1.0221148541435753E-2</v>
      </c>
      <c r="S15" s="7">
        <f>$B15 * IFERROR(VLOOKUP("buildings|NOx|Work loss days", US_national_yearly!$D:$AM, 27, FALSE) / VLOOKUP("buildings|NOx|Work loss days", US_national_yearly!$D:$AM, 10, FALSE), 1)</f>
        <v>1.0293858335370585E-2</v>
      </c>
      <c r="T15" s="7">
        <f>$B15 * IFERROR(VLOOKUP("buildings|NOx|Work loss days", US_national_yearly!$D:$AM, 28, FALSE) / VLOOKUP("buildings|NOx|Work loss days", US_national_yearly!$D:$AM, 10, FALSE), 1)</f>
        <v>1.036656812930542E-2</v>
      </c>
      <c r="U15" s="7">
        <f>$B15 * IFERROR(VLOOKUP("buildings|NOx|Work loss days", US_national_yearly!$D:$AM, 29, FALSE) / VLOOKUP("buildings|NOx|Work loss days", US_national_yearly!$D:$AM, 10, FALSE), 1)</f>
        <v>1.0439277923240252E-2</v>
      </c>
      <c r="V15" s="7">
        <f>$B15 * IFERROR(VLOOKUP("buildings|NOx|Work loss days", US_national_yearly!$D:$AM, 30, FALSE) / VLOOKUP("buildings|NOx|Work loss days", US_national_yearly!$D:$AM, 10, FALSE), 1)</f>
        <v>1.0511987717175084E-2</v>
      </c>
      <c r="W15" s="7">
        <f>$B15 * IFERROR(VLOOKUP("buildings|NOx|Work loss days", US_national_yearly!$D:$AM, 31, FALSE) / VLOOKUP("buildings|NOx|Work loss days", US_national_yearly!$D:$AM, 10, FALSE), 1)</f>
        <v>1.0584697511109917E-2</v>
      </c>
      <c r="X15" s="7">
        <f>$B15 * IFERROR(VLOOKUP("buildings|NOx|Work loss days", US_national_yearly!$D:$AM, 32, FALSE) / VLOOKUP("buildings|NOx|Work loss days", US_national_yearly!$D:$AM, 10, FALSE), 1)</f>
        <v>1.0647824804028134E-2</v>
      </c>
      <c r="Y15" s="7">
        <f>$B15 * IFERROR(VLOOKUP("buildings|NOx|Work loss days", US_national_yearly!$D:$AM, 33, FALSE) / VLOOKUP("buildings|NOx|Work loss days", US_national_yearly!$D:$AM, 10, FALSE), 1)</f>
        <v>1.0710952096946351E-2</v>
      </c>
      <c r="Z15" s="7">
        <f>$B15 * IFERROR(VLOOKUP("buildings|NOx|Work loss days", US_national_yearly!$D:$AM, 34, FALSE) / VLOOKUP("buildings|NOx|Work loss days", US_national_yearly!$D:$AM, 10, FALSE), 1)</f>
        <v>1.0774079389864568E-2</v>
      </c>
      <c r="AA15" s="7">
        <f>$B15 * IFERROR(VLOOKUP("buildings|NOx|Work loss days", US_national_yearly!$D:$AM, 35, FALSE) / VLOOKUP("buildings|NOx|Work loss days", US_national_yearly!$D:$AM, 10, FALSE), 1)</f>
        <v>1.0837206682782787E-2</v>
      </c>
      <c r="AB15" s="7">
        <f>$B15 * IFERROR(VLOOKUP("buildings|NOx|Work loss days", US_national_yearly!$D:$AM, 36, FALSE) / VLOOKUP("buildings|NOx|Work loss days", US_national_yearly!$D:$AM, 10, FALSE), 1)</f>
        <v>1.0900333975701004E-2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1.4993384219324359E-5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1.5434191047672713E-5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1.5874997876021072E-5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1.6315804704369426E-5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1.6756611532717779E-5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1.7175370002430666E-5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1.7594128472143549E-5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1.7946472380308203E-5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1.8298816288472858E-5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1.8651160196637509E-5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1.9003504104802163E-5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1.9355848012966811E-5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1.9576251163327529E-5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1.9796654313688237E-5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2.0017057464048949E-5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2.0237460614409661E-5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2.0457863764770373E-5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2.0558572235291391E-5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2.0659280705812408E-5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2.0759989176333426E-5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2.086069764685444E-5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2.0961406117375462E-5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2.1017540002007417E-5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2.1073673886639375E-5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2.112980777127133E-5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2.1185941655903292E-5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2.1242075540535247E-5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7.4890573542623663E-4</v>
      </c>
      <c r="C2" s="7">
        <f>$B2 * IFERROR(VLOOKUP("buildings|SO2|Premature mortality", US_national_yearly!$D:$AM, 11, FALSE) / VLOOKUP("buildings|SO2|Premature mortality", US_national_yearly!$D:$AM, 10, FALSE), 1)</f>
        <v>7.5839318170788019E-4</v>
      </c>
      <c r="D2" s="7">
        <f>$B2 * IFERROR(VLOOKUP("buildings|SO2|Premature mortality", US_national_yearly!$D:$AM, 12, FALSE) / VLOOKUP("buildings|SO2|Premature mortality", US_national_yearly!$D:$AM, 10, FALSE), 1)</f>
        <v>7.6788062798952353E-4</v>
      </c>
      <c r="E2" s="7">
        <f>$B2 * IFERROR(VLOOKUP("buildings|SO2|Premature mortality", US_national_yearly!$D:$AM, 13, FALSE) / VLOOKUP("buildings|SO2|Premature mortality", US_national_yearly!$D:$AM, 10, FALSE), 1)</f>
        <v>7.7736807427116709E-4</v>
      </c>
      <c r="F2" s="7">
        <f>$B2 * IFERROR(VLOOKUP("buildings|SO2|Premature mortality", US_national_yearly!$D:$AM, 14, FALSE) / VLOOKUP("buildings|SO2|Premature mortality", US_national_yearly!$D:$AM, 10, FALSE), 1)</f>
        <v>7.8685552055281053E-4</v>
      </c>
      <c r="G2" s="7">
        <f>$B2 * IFERROR(VLOOKUP("buildings|SO2|Premature mortality", US_national_yearly!$D:$AM, 15, FALSE) / VLOOKUP("buildings|SO2|Premature mortality", US_national_yearly!$D:$AM, 10, FALSE), 1)</f>
        <v>8.0513590446683629E-4</v>
      </c>
      <c r="H2" s="7">
        <f>$B2 * IFERROR(VLOOKUP("buildings|SO2|Premature mortality", US_national_yearly!$D:$AM, 16, FALSE) / VLOOKUP("buildings|SO2|Premature mortality", US_national_yearly!$D:$AM, 10, FALSE), 1)</f>
        <v>8.2341628838086215E-4</v>
      </c>
      <c r="I2" s="7">
        <f>$B2 * IFERROR(VLOOKUP("buildings|SO2|Premature mortality", US_national_yearly!$D:$AM, 17, FALSE) / VLOOKUP("buildings|SO2|Premature mortality", US_national_yearly!$D:$AM, 10, FALSE), 1)</f>
        <v>8.3550317322534425E-4</v>
      </c>
      <c r="J2" s="7">
        <f>$B2 * IFERROR(VLOOKUP("buildings|SO2|Premature mortality", US_national_yearly!$D:$AM, 18, FALSE) / VLOOKUP("buildings|SO2|Premature mortality", US_national_yearly!$D:$AM, 10, FALSE), 1)</f>
        <v>8.4759005806982614E-4</v>
      </c>
      <c r="K2" s="7">
        <f>$B2 * IFERROR(VLOOKUP("buildings|SO2|Premature mortality", US_national_yearly!$D:$AM, 19, FALSE) / VLOOKUP("buildings|SO2|Premature mortality", US_national_yearly!$D:$AM, 10, FALSE), 1)</f>
        <v>8.5967694291430824E-4</v>
      </c>
      <c r="L2" s="7">
        <f>$B2 * IFERROR(VLOOKUP("buildings|SO2|Premature mortality", US_national_yearly!$D:$AM, 20, FALSE) / VLOOKUP("buildings|SO2|Premature mortality", US_national_yearly!$D:$AM, 10, FALSE), 1)</f>
        <v>8.7176382775879023E-4</v>
      </c>
      <c r="M2" s="7">
        <f>$B2 * IFERROR(VLOOKUP("buildings|SO2|Premature mortality", US_national_yearly!$D:$AM, 21, FALSE) / VLOOKUP("buildings|SO2|Premature mortality", US_national_yearly!$D:$AM, 10, FALSE), 1)</f>
        <v>8.8385071260327233E-4</v>
      </c>
      <c r="N2" s="7">
        <f>$B2 * IFERROR(VLOOKUP("buildings|SO2|Premature mortality", US_national_yearly!$D:$AM, 22, FALSE) / VLOOKUP("buildings|SO2|Premature mortality", US_national_yearly!$D:$AM, 10, FALSE), 1)</f>
        <v>8.9329256248321068E-4</v>
      </c>
      <c r="O2" s="7">
        <f>$B2 * IFERROR(VLOOKUP("buildings|SO2|Premature mortality", US_national_yearly!$D:$AM, 23, FALSE) / VLOOKUP("buildings|SO2|Premature mortality", US_national_yearly!$D:$AM, 10, FALSE), 1)</f>
        <v>9.0273441236314849E-4</v>
      </c>
      <c r="P2" s="7">
        <f>$B2 * IFERROR(VLOOKUP("buildings|SO2|Premature mortality", US_national_yearly!$D:$AM, 24, FALSE) / VLOOKUP("buildings|SO2|Premature mortality", US_national_yearly!$D:$AM, 10, FALSE), 1)</f>
        <v>9.1217626224308662E-4</v>
      </c>
      <c r="Q2" s="7">
        <f>$B2 * IFERROR(VLOOKUP("buildings|SO2|Premature mortality", US_national_yearly!$D:$AM, 25, FALSE) / VLOOKUP("buildings|SO2|Premature mortality", US_national_yearly!$D:$AM, 10, FALSE), 1)</f>
        <v>9.2161811212302465E-4</v>
      </c>
      <c r="R2" s="7">
        <f>$B2 * IFERROR(VLOOKUP("buildings|SO2|Premature mortality", US_national_yearly!$D:$AM, 26, FALSE) / VLOOKUP("buildings|SO2|Premature mortality", US_national_yearly!$D:$AM, 10, FALSE), 1)</f>
        <v>9.3105996200296278E-4</v>
      </c>
      <c r="S2" s="7">
        <f>$B2 * IFERROR(VLOOKUP("buildings|SO2|Premature mortality", US_national_yearly!$D:$AM, 27, FALSE) / VLOOKUP("buildings|SO2|Premature mortality", US_national_yearly!$D:$AM, 10, FALSE), 1)</f>
        <v>9.3611334783497754E-4</v>
      </c>
      <c r="T2" s="7">
        <f>$B2 * IFERROR(VLOOKUP("buildings|SO2|Premature mortality", US_national_yearly!$D:$AM, 28, FALSE) / VLOOKUP("buildings|SO2|Premature mortality", US_national_yearly!$D:$AM, 10, FALSE), 1)</f>
        <v>9.4116673366699251E-4</v>
      </c>
      <c r="U2" s="7">
        <f>$B2 * IFERROR(VLOOKUP("buildings|SO2|Premature mortality", US_national_yearly!$D:$AM, 29, FALSE) / VLOOKUP("buildings|SO2|Premature mortality", US_national_yearly!$D:$AM, 10, FALSE), 1)</f>
        <v>9.4622011949900726E-4</v>
      </c>
      <c r="V2" s="7">
        <f>$B2 * IFERROR(VLOOKUP("buildings|SO2|Premature mortality", US_national_yearly!$D:$AM, 30, FALSE) / VLOOKUP("buildings|SO2|Premature mortality", US_national_yearly!$D:$AM, 10, FALSE), 1)</f>
        <v>9.5127350533102224E-4</v>
      </c>
      <c r="W2" s="7">
        <f>$B2 * IFERROR(VLOOKUP("buildings|SO2|Premature mortality", US_national_yearly!$D:$AM, 31, FALSE) / VLOOKUP("buildings|SO2|Premature mortality", US_national_yearly!$D:$AM, 10, FALSE), 1)</f>
        <v>9.5632689116303699E-4</v>
      </c>
      <c r="X2" s="7">
        <f>$B2 * IFERROR(VLOOKUP("buildings|SO2|Premature mortality", US_national_yearly!$D:$AM, 32, FALSE) / VLOOKUP("buildings|SO2|Premature mortality", US_national_yearly!$D:$AM, 10, FALSE), 1)</f>
        <v>9.5734800334914421E-4</v>
      </c>
      <c r="Y2" s="7">
        <f>$B2 * IFERROR(VLOOKUP("buildings|SO2|Premature mortality", US_national_yearly!$D:$AM, 33, FALSE) / VLOOKUP("buildings|SO2|Premature mortality", US_national_yearly!$D:$AM, 10, FALSE), 1)</f>
        <v>9.5836911553525144E-4</v>
      </c>
      <c r="Z2" s="7">
        <f>$B2 * IFERROR(VLOOKUP("buildings|SO2|Premature mortality", US_national_yearly!$D:$AM, 34, FALSE) / VLOOKUP("buildings|SO2|Premature mortality", US_national_yearly!$D:$AM, 10, FALSE), 1)</f>
        <v>9.5939022772135855E-4</v>
      </c>
      <c r="AA2" s="7">
        <f>$B2 * IFERROR(VLOOKUP("buildings|SO2|Premature mortality", US_national_yearly!$D:$AM, 35, FALSE) / VLOOKUP("buildings|SO2|Premature mortality", US_national_yearly!$D:$AM, 10, FALSE), 1)</f>
        <v>9.6041133990746577E-4</v>
      </c>
      <c r="AB2" s="7">
        <f>$B2 * IFERROR(VLOOKUP("buildings|SO2|Premature mortality", US_national_yearly!$D:$AM, 36, FALSE) / VLOOKUP("buildings|SO2|Premature mortality", US_national_yearly!$D:$AM, 10, FALSE), 1)</f>
        <v>9.6143245209357299E-4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9.7428275627418886E-7</v>
      </c>
      <c r="C3" s="7">
        <f>$B3 * IFERROR(VLOOKUP("buildings|SO2|Infant mortality", US_national_yearly!$D:$AM, 11, FALSE) / VLOOKUP("buildings|SO2|Infant mortality", US_national_yearly!$D:$AM, 10, FALSE), 1)</f>
        <v>9.6593178203869101E-7</v>
      </c>
      <c r="D3" s="7">
        <f>$B3 * IFERROR(VLOOKUP("buildings|SO2|Infant mortality", US_national_yearly!$D:$AM, 12, FALSE) / VLOOKUP("buildings|SO2|Infant mortality", US_national_yearly!$D:$AM, 10, FALSE), 1)</f>
        <v>9.5758080780319337E-7</v>
      </c>
      <c r="E3" s="7">
        <f>$B3 * IFERROR(VLOOKUP("buildings|SO2|Infant mortality", US_national_yearly!$D:$AM, 13, FALSE) / VLOOKUP("buildings|SO2|Infant mortality", US_national_yearly!$D:$AM, 10, FALSE), 1)</f>
        <v>9.4922983356769574E-7</v>
      </c>
      <c r="F3" s="7">
        <f>$B3 * IFERROR(VLOOKUP("buildings|SO2|Infant mortality", US_national_yearly!$D:$AM, 14, FALSE) / VLOOKUP("buildings|SO2|Infant mortality", US_national_yearly!$D:$AM, 10, FALSE), 1)</f>
        <v>9.408788593321981E-7</v>
      </c>
      <c r="G3" s="7">
        <f>$B3 * IFERROR(VLOOKUP("buildings|SO2|Infant mortality", US_national_yearly!$D:$AM, 15, FALSE) / VLOOKUP("buildings|SO2|Infant mortality", US_national_yearly!$D:$AM, 10, FALSE), 1)</f>
        <v>6.2658804575891632E-7</v>
      </c>
      <c r="H3" s="7">
        <f>$B3 * IFERROR(VLOOKUP("buildings|SO2|Infant mortality", US_national_yearly!$D:$AM, 16, FALSE) / VLOOKUP("buildings|SO2|Infant mortality", US_national_yearly!$D:$AM, 10, FALSE), 1)</f>
        <v>3.122972321856346E-7</v>
      </c>
      <c r="I3" s="7">
        <f>$B3 * IFERROR(VLOOKUP("buildings|SO2|Infant mortality", US_national_yearly!$D:$AM, 17, FALSE) / VLOOKUP("buildings|SO2|Infant mortality", US_national_yearly!$D:$AM, 10, FALSE), 1)</f>
        <v>3.1033784486392964E-7</v>
      </c>
      <c r="J3" s="7">
        <f>$B3 * IFERROR(VLOOKUP("buildings|SO2|Infant mortality", US_national_yearly!$D:$AM, 18, FALSE) / VLOOKUP("buildings|SO2|Infant mortality", US_national_yearly!$D:$AM, 10, FALSE), 1)</f>
        <v>3.0837845754222457E-7</v>
      </c>
      <c r="K3" s="7">
        <f>$B3 * IFERROR(VLOOKUP("buildings|SO2|Infant mortality", US_national_yearly!$D:$AM, 19, FALSE) / VLOOKUP("buildings|SO2|Infant mortality", US_national_yearly!$D:$AM, 10, FALSE), 1)</f>
        <v>3.064190702205196E-7</v>
      </c>
      <c r="L3" s="7">
        <f>$B3 * IFERROR(VLOOKUP("buildings|SO2|Infant mortality", US_national_yearly!$D:$AM, 20, FALSE) / VLOOKUP("buildings|SO2|Infant mortality", US_national_yearly!$D:$AM, 10, FALSE), 1)</f>
        <v>3.0445968289881453E-7</v>
      </c>
      <c r="M3" s="7">
        <f>$B3 * IFERROR(VLOOKUP("buildings|SO2|Infant mortality", US_national_yearly!$D:$AM, 21, FALSE) / VLOOKUP("buildings|SO2|Infant mortality", US_national_yearly!$D:$AM, 10, FALSE), 1)</f>
        <v>3.0250029557710957E-7</v>
      </c>
      <c r="N3" s="7">
        <f>$B3 * IFERROR(VLOOKUP("buildings|SO2|Infant mortality", US_national_yearly!$D:$AM, 22, FALSE) / VLOOKUP("buildings|SO2|Infant mortality", US_national_yearly!$D:$AM, 10, FALSE), 1)</f>
        <v>3.0127196787608108E-7</v>
      </c>
      <c r="O3" s="7">
        <f>$B3 * IFERROR(VLOOKUP("buildings|SO2|Infant mortality", US_national_yearly!$D:$AM, 23, FALSE) / VLOOKUP("buildings|SO2|Infant mortality", US_national_yearly!$D:$AM, 10, FALSE), 1)</f>
        <v>3.0004364017505259E-7</v>
      </c>
      <c r="P3" s="7">
        <f>$B3 * IFERROR(VLOOKUP("buildings|SO2|Infant mortality", US_national_yearly!$D:$AM, 24, FALSE) / VLOOKUP("buildings|SO2|Infant mortality", US_national_yearly!$D:$AM, 10, FALSE), 1)</f>
        <v>2.9881531247402416E-7</v>
      </c>
      <c r="Q3" s="7">
        <f>$B3 * IFERROR(VLOOKUP("buildings|SO2|Infant mortality", US_national_yearly!$D:$AM, 25, FALSE) / VLOOKUP("buildings|SO2|Infant mortality", US_national_yearly!$D:$AM, 10, FALSE), 1)</f>
        <v>2.9758698477299567E-7</v>
      </c>
      <c r="R3" s="7">
        <f>$B3 * IFERROR(VLOOKUP("buildings|SO2|Infant mortality", US_national_yearly!$D:$AM, 26, FALSE) / VLOOKUP("buildings|SO2|Infant mortality", US_national_yearly!$D:$AM, 10, FALSE), 1)</f>
        <v>2.9635865707196719E-7</v>
      </c>
      <c r="S3" s="7">
        <f>$B3 * IFERROR(VLOOKUP("buildings|SO2|Infant mortality", US_national_yearly!$D:$AM, 27, FALSE) / VLOOKUP("buildings|SO2|Infant mortality", US_national_yearly!$D:$AM, 10, FALSE), 1)</f>
        <v>2.9481626689743209E-7</v>
      </c>
      <c r="T3" s="7">
        <f>$B3 * IFERROR(VLOOKUP("buildings|SO2|Infant mortality", US_national_yearly!$D:$AM, 28, FALSE) / VLOOKUP("buildings|SO2|Infant mortality", US_national_yearly!$D:$AM, 10, FALSE), 1)</f>
        <v>2.9327387672289705E-7</v>
      </c>
      <c r="U3" s="7">
        <f>$B3 * IFERROR(VLOOKUP("buildings|SO2|Infant mortality", US_national_yearly!$D:$AM, 29, FALSE) / VLOOKUP("buildings|SO2|Infant mortality", US_national_yearly!$D:$AM, 10, FALSE), 1)</f>
        <v>2.9173148654836195E-7</v>
      </c>
      <c r="V3" s="7">
        <f>$B3 * IFERROR(VLOOKUP("buildings|SO2|Infant mortality", US_national_yearly!$D:$AM, 30, FALSE) / VLOOKUP("buildings|SO2|Infant mortality", US_national_yearly!$D:$AM, 10, FALSE), 1)</f>
        <v>2.9018909637382691E-7</v>
      </c>
      <c r="W3" s="7">
        <f>$B3 * IFERROR(VLOOKUP("buildings|SO2|Infant mortality", US_national_yearly!$D:$AM, 31, FALSE) / VLOOKUP("buildings|SO2|Infant mortality", US_national_yearly!$D:$AM, 10, FALSE), 1)</f>
        <v>2.8864670619929181E-7</v>
      </c>
      <c r="X3" s="7">
        <f>$B3 * IFERROR(VLOOKUP("buildings|SO2|Infant mortality", US_national_yearly!$D:$AM, 32, FALSE) / VLOOKUP("buildings|SO2|Infant mortality", US_national_yearly!$D:$AM, 10, FALSE), 1)</f>
        <v>2.8696217173454164E-7</v>
      </c>
      <c r="Y3" s="7">
        <f>$B3 * IFERROR(VLOOKUP("buildings|SO2|Infant mortality", US_national_yearly!$D:$AM, 33, FALSE) / VLOOKUP("buildings|SO2|Infant mortality", US_national_yearly!$D:$AM, 10, FALSE), 1)</f>
        <v>2.8527763726979151E-7</v>
      </c>
      <c r="Z3" s="7">
        <f>$B3 * IFERROR(VLOOKUP("buildings|SO2|Infant mortality", US_national_yearly!$D:$AM, 34, FALSE) / VLOOKUP("buildings|SO2|Infant mortality", US_national_yearly!$D:$AM, 10, FALSE), 1)</f>
        <v>2.8359310280504138E-7</v>
      </c>
      <c r="AA3" s="7">
        <f>$B3 * IFERROR(VLOOKUP("buildings|SO2|Infant mortality", US_national_yearly!$D:$AM, 35, FALSE) / VLOOKUP("buildings|SO2|Infant mortality", US_national_yearly!$D:$AM, 10, FALSE), 1)</f>
        <v>2.8190856834029121E-7</v>
      </c>
      <c r="AB3" s="7">
        <f>$B3 * IFERROR(VLOOKUP("buildings|SO2|Infant mortality", US_national_yearly!$D:$AM, 36, FALSE) / VLOOKUP("buildings|SO2|Infant mortality", US_national_yearly!$D:$AM, 10, FALSE), 1)</f>
        <v>2.8022403387554113E-7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1.5081031638956152E-3</v>
      </c>
      <c r="C6" s="7">
        <f>$B6 * IFERROR(VLOOKUP("buildings|SO2|Asthma symptoms cough", US_national_yearly!$D:$AM, 11, FALSE) / VLOOKUP("buildings|SO2|Asthma symptoms cough", US_national_yearly!$D:$AM, 10, FALSE), 1)</f>
        <v>1.5081031638956152E-3</v>
      </c>
      <c r="D6" s="7">
        <f>$B6 * IFERROR(VLOOKUP("buildings|SO2|Asthma symptoms cough", US_national_yearly!$D:$AM, 12, FALSE) / VLOOKUP("buildings|SO2|Asthma symptoms cough", US_national_yearly!$D:$AM, 10, FALSE), 1)</f>
        <v>1.5081031638956152E-3</v>
      </c>
      <c r="E6" s="7">
        <f>$B6 * IFERROR(VLOOKUP("buildings|SO2|Asthma symptoms cough", US_national_yearly!$D:$AM, 13, FALSE) / VLOOKUP("buildings|SO2|Asthma symptoms cough", US_national_yearly!$D:$AM, 10, FALSE), 1)</f>
        <v>1.5081031638956152E-3</v>
      </c>
      <c r="F6" s="7">
        <f>$B6 * IFERROR(VLOOKUP("buildings|SO2|Asthma symptoms cough", US_national_yearly!$D:$AM, 14, FALSE) / VLOOKUP("buildings|SO2|Asthma symptoms cough", US_national_yearly!$D:$AM, 10, FALSE), 1)</f>
        <v>1.5081031638956152E-3</v>
      </c>
      <c r="G6" s="7">
        <f>$B6 * IFERROR(VLOOKUP("buildings|SO2|Asthma symptoms cough", US_national_yearly!$D:$AM, 15, FALSE) / VLOOKUP("buildings|SO2|Asthma symptoms cough", US_national_yearly!$D:$AM, 10, FALSE), 1)</f>
        <v>1.5081031638956152E-3</v>
      </c>
      <c r="H6" s="7">
        <f>$B6 * IFERROR(VLOOKUP("buildings|SO2|Asthma symptoms cough", US_national_yearly!$D:$AM, 16, FALSE) / VLOOKUP("buildings|SO2|Asthma symptoms cough", US_national_yearly!$D:$AM, 10, FALSE), 1)</f>
        <v>1.5081031638956152E-3</v>
      </c>
      <c r="I6" s="7">
        <f>$B6 * IFERROR(VLOOKUP("buildings|SO2|Asthma symptoms cough", US_national_yearly!$D:$AM, 17, FALSE) / VLOOKUP("buildings|SO2|Asthma symptoms cough", US_national_yearly!$D:$AM, 10, FALSE), 1)</f>
        <v>1.5081031638956152E-3</v>
      </c>
      <c r="J6" s="7">
        <f>$B6 * IFERROR(VLOOKUP("buildings|SO2|Asthma symptoms cough", US_national_yearly!$D:$AM, 18, FALSE) / VLOOKUP("buildings|SO2|Asthma symptoms cough", US_national_yearly!$D:$AM, 10, FALSE), 1)</f>
        <v>1.5081031638956152E-3</v>
      </c>
      <c r="K6" s="7">
        <f>$B6 * IFERROR(VLOOKUP("buildings|SO2|Asthma symptoms cough", US_national_yearly!$D:$AM, 19, FALSE) / VLOOKUP("buildings|SO2|Asthma symptoms cough", US_national_yearly!$D:$AM, 10, FALSE), 1)</f>
        <v>1.5081031638956152E-3</v>
      </c>
      <c r="L6" s="7">
        <f>$B6 * IFERROR(VLOOKUP("buildings|SO2|Asthma symptoms cough", US_national_yearly!$D:$AM, 20, FALSE) / VLOOKUP("buildings|SO2|Asthma symptoms cough", US_national_yearly!$D:$AM, 10, FALSE), 1)</f>
        <v>1.5081031638956152E-3</v>
      </c>
      <c r="M6" s="7">
        <f>$B6 * IFERROR(VLOOKUP("buildings|SO2|Asthma symptoms cough", US_national_yearly!$D:$AM, 21, FALSE) / VLOOKUP("buildings|SO2|Asthma symptoms cough", US_national_yearly!$D:$AM, 10, FALSE), 1)</f>
        <v>1.5081031638956152E-3</v>
      </c>
      <c r="N6" s="7">
        <f>$B6 * IFERROR(VLOOKUP("buildings|SO2|Asthma symptoms cough", US_national_yearly!$D:$AM, 22, FALSE) / VLOOKUP("buildings|SO2|Asthma symptoms cough", US_national_yearly!$D:$AM, 10, FALSE), 1)</f>
        <v>1.5081031638956152E-3</v>
      </c>
      <c r="O6" s="7">
        <f>$B6 * IFERROR(VLOOKUP("buildings|SO2|Asthma symptoms cough", US_national_yearly!$D:$AM, 23, FALSE) / VLOOKUP("buildings|SO2|Asthma symptoms cough", US_national_yearly!$D:$AM, 10, FALSE), 1)</f>
        <v>1.5081031638956152E-3</v>
      </c>
      <c r="P6" s="7">
        <f>$B6 * IFERROR(VLOOKUP("buildings|SO2|Asthma symptoms cough", US_national_yearly!$D:$AM, 24, FALSE) / VLOOKUP("buildings|SO2|Asthma symptoms cough", US_national_yearly!$D:$AM, 10, FALSE), 1)</f>
        <v>1.5081031638956152E-3</v>
      </c>
      <c r="Q6" s="7">
        <f>$B6 * IFERROR(VLOOKUP("buildings|SO2|Asthma symptoms cough", US_national_yearly!$D:$AM, 25, FALSE) / VLOOKUP("buildings|SO2|Asthma symptoms cough", US_national_yearly!$D:$AM, 10, FALSE), 1)</f>
        <v>1.5081031638956152E-3</v>
      </c>
      <c r="R6" s="7">
        <f>$B6 * IFERROR(VLOOKUP("buildings|SO2|Asthma symptoms cough", US_national_yearly!$D:$AM, 26, FALSE) / VLOOKUP("buildings|SO2|Asthma symptoms cough", US_national_yearly!$D:$AM, 10, FALSE), 1)</f>
        <v>1.5081031638956152E-3</v>
      </c>
      <c r="S6" s="7">
        <f>$B6 * IFERROR(VLOOKUP("buildings|SO2|Asthma symptoms cough", US_national_yearly!$D:$AM, 27, FALSE) / VLOOKUP("buildings|SO2|Asthma symptoms cough", US_national_yearly!$D:$AM, 10, FALSE), 1)</f>
        <v>1.5081031638956152E-3</v>
      </c>
      <c r="T6" s="7">
        <f>$B6 * IFERROR(VLOOKUP("buildings|SO2|Asthma symptoms cough", US_national_yearly!$D:$AM, 28, FALSE) / VLOOKUP("buildings|SO2|Asthma symptoms cough", US_national_yearly!$D:$AM, 10, FALSE), 1)</f>
        <v>1.5081031638956152E-3</v>
      </c>
      <c r="U6" s="7">
        <f>$B6 * IFERROR(VLOOKUP("buildings|SO2|Asthma symptoms cough", US_national_yearly!$D:$AM, 29, FALSE) / VLOOKUP("buildings|SO2|Asthma symptoms cough", US_national_yearly!$D:$AM, 10, FALSE), 1)</f>
        <v>1.5081031638956152E-3</v>
      </c>
      <c r="V6" s="7">
        <f>$B6 * IFERROR(VLOOKUP("buildings|SO2|Asthma symptoms cough", US_national_yearly!$D:$AM, 30, FALSE) / VLOOKUP("buildings|SO2|Asthma symptoms cough", US_national_yearly!$D:$AM, 10, FALSE), 1)</f>
        <v>1.5081031638956152E-3</v>
      </c>
      <c r="W6" s="7">
        <f>$B6 * IFERROR(VLOOKUP("buildings|SO2|Asthma symptoms cough", US_national_yearly!$D:$AM, 31, FALSE) / VLOOKUP("buildings|SO2|Asthma symptoms cough", US_national_yearly!$D:$AM, 10, FALSE), 1)</f>
        <v>1.5081031638956152E-3</v>
      </c>
      <c r="X6" s="7">
        <f>$B6 * IFERROR(VLOOKUP("buildings|SO2|Asthma symptoms cough", US_national_yearly!$D:$AM, 32, FALSE) / VLOOKUP("buildings|SO2|Asthma symptoms cough", US_national_yearly!$D:$AM, 10, FALSE), 1)</f>
        <v>1.5081031638956152E-3</v>
      </c>
      <c r="Y6" s="7">
        <f>$B6 * IFERROR(VLOOKUP("buildings|SO2|Asthma symptoms cough", US_national_yearly!$D:$AM, 33, FALSE) / VLOOKUP("buildings|SO2|Asthma symptoms cough", US_national_yearly!$D:$AM, 10, FALSE), 1)</f>
        <v>1.5081031638956152E-3</v>
      </c>
      <c r="Z6" s="7">
        <f>$B6 * IFERROR(VLOOKUP("buildings|SO2|Asthma symptoms cough", US_national_yearly!$D:$AM, 34, FALSE) / VLOOKUP("buildings|SO2|Asthma symptoms cough", US_national_yearly!$D:$AM, 10, FALSE), 1)</f>
        <v>1.5081031638956152E-3</v>
      </c>
      <c r="AA6" s="7">
        <f>$B6 * IFERROR(VLOOKUP("buildings|SO2|Asthma symptoms cough", US_national_yearly!$D:$AM, 35, FALSE) / VLOOKUP("buildings|SO2|Asthma symptoms cough", US_national_yearly!$D:$AM, 10, FALSE), 1)</f>
        <v>1.5081031638956152E-3</v>
      </c>
      <c r="AB6" s="7">
        <f>$B6 * IFERROR(VLOOKUP("buildings|SO2|Asthma symptoms cough", US_national_yearly!$D:$AM, 36, FALSE) / VLOOKUP("buildings|SO2|Asthma symptoms cough", US_national_yearly!$D:$AM, 10, FALSE), 1)</f>
        <v>1.5081031638956152E-3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2.0308822261091136E-3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2.0308822261091136E-3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2.0308822261091136E-3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2.0308822261091136E-3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2.0308822261091136E-3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2.0308822261091136E-3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2.0308822261091136E-3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2.0308822261091136E-3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2.0308822261091136E-3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2.0308822261091136E-3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2.0308822261091136E-3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2.0308822261091136E-3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2.0308822261091136E-3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2.0308822261091136E-3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2.0308822261091136E-3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2.0308822261091136E-3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2.0308822261091136E-3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2.0308822261091136E-3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2.0308822261091136E-3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2.0308822261091136E-3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2.0308822261091136E-3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2.0308822261091136E-3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2.0308822261091136E-3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2.0308822261091136E-3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2.0308822261091136E-3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2.0308822261091136E-3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2.0308822261091136E-3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3.1028346442362716E-3</v>
      </c>
      <c r="C8" s="7">
        <f>$B8 * IFERROR(VLOOKUP("buildings|SO2|Asthma symptoms wheeze", US_national_yearly!$D:$AM, 11, FALSE) / VLOOKUP("buildings|SO2|Asthma symptoms wheeze", US_national_yearly!$D:$AM, 10, FALSE), 1)</f>
        <v>3.1028346442362716E-3</v>
      </c>
      <c r="D8" s="7">
        <f>$B8 * IFERROR(VLOOKUP("buildings|SO2|Asthma symptoms wheeze", US_national_yearly!$D:$AM, 12, FALSE) / VLOOKUP("buildings|SO2|Asthma symptoms wheeze", US_national_yearly!$D:$AM, 10, FALSE), 1)</f>
        <v>3.1028346442362716E-3</v>
      </c>
      <c r="E8" s="7">
        <f>$B8 * IFERROR(VLOOKUP("buildings|SO2|Asthma symptoms wheeze", US_national_yearly!$D:$AM, 13, FALSE) / VLOOKUP("buildings|SO2|Asthma symptoms wheeze", US_national_yearly!$D:$AM, 10, FALSE), 1)</f>
        <v>3.1028346442362716E-3</v>
      </c>
      <c r="F8" s="7">
        <f>$B8 * IFERROR(VLOOKUP("buildings|SO2|Asthma symptoms wheeze", US_national_yearly!$D:$AM, 14, FALSE) / VLOOKUP("buildings|SO2|Asthma symptoms wheeze", US_national_yearly!$D:$AM, 10, FALSE), 1)</f>
        <v>3.1028346442362716E-3</v>
      </c>
      <c r="G8" s="7">
        <f>$B8 * IFERROR(VLOOKUP("buildings|SO2|Asthma symptoms wheeze", US_national_yearly!$D:$AM, 15, FALSE) / VLOOKUP("buildings|SO2|Asthma symptoms wheeze", US_national_yearly!$D:$AM, 10, FALSE), 1)</f>
        <v>3.1028346442362716E-3</v>
      </c>
      <c r="H8" s="7">
        <f>$B8 * IFERROR(VLOOKUP("buildings|SO2|Asthma symptoms wheeze", US_national_yearly!$D:$AM, 16, FALSE) / VLOOKUP("buildings|SO2|Asthma symptoms wheeze", US_national_yearly!$D:$AM, 10, FALSE), 1)</f>
        <v>3.1028346442362716E-3</v>
      </c>
      <c r="I8" s="7">
        <f>$B8 * IFERROR(VLOOKUP("buildings|SO2|Asthma symptoms wheeze", US_national_yearly!$D:$AM, 17, FALSE) / VLOOKUP("buildings|SO2|Asthma symptoms wheeze", US_national_yearly!$D:$AM, 10, FALSE), 1)</f>
        <v>3.1028346442362716E-3</v>
      </c>
      <c r="J8" s="7">
        <f>$B8 * IFERROR(VLOOKUP("buildings|SO2|Asthma symptoms wheeze", US_national_yearly!$D:$AM, 18, FALSE) / VLOOKUP("buildings|SO2|Asthma symptoms wheeze", US_national_yearly!$D:$AM, 10, FALSE), 1)</f>
        <v>3.1028346442362716E-3</v>
      </c>
      <c r="K8" s="7">
        <f>$B8 * IFERROR(VLOOKUP("buildings|SO2|Asthma symptoms wheeze", US_national_yearly!$D:$AM, 19, FALSE) / VLOOKUP("buildings|SO2|Asthma symptoms wheeze", US_national_yearly!$D:$AM, 10, FALSE), 1)</f>
        <v>3.1028346442362716E-3</v>
      </c>
      <c r="L8" s="7">
        <f>$B8 * IFERROR(VLOOKUP("buildings|SO2|Asthma symptoms wheeze", US_national_yearly!$D:$AM, 20, FALSE) / VLOOKUP("buildings|SO2|Asthma symptoms wheeze", US_national_yearly!$D:$AM, 10, FALSE), 1)</f>
        <v>3.1028346442362716E-3</v>
      </c>
      <c r="M8" s="7">
        <f>$B8 * IFERROR(VLOOKUP("buildings|SO2|Asthma symptoms wheeze", US_national_yearly!$D:$AM, 21, FALSE) / VLOOKUP("buildings|SO2|Asthma symptoms wheeze", US_national_yearly!$D:$AM, 10, FALSE), 1)</f>
        <v>3.1028346442362716E-3</v>
      </c>
      <c r="N8" s="7">
        <f>$B8 * IFERROR(VLOOKUP("buildings|SO2|Asthma symptoms wheeze", US_national_yearly!$D:$AM, 22, FALSE) / VLOOKUP("buildings|SO2|Asthma symptoms wheeze", US_national_yearly!$D:$AM, 10, FALSE), 1)</f>
        <v>3.1028346442362716E-3</v>
      </c>
      <c r="O8" s="7">
        <f>$B8 * IFERROR(VLOOKUP("buildings|SO2|Asthma symptoms wheeze", US_national_yearly!$D:$AM, 23, FALSE) / VLOOKUP("buildings|SO2|Asthma symptoms wheeze", US_national_yearly!$D:$AM, 10, FALSE), 1)</f>
        <v>3.1028346442362716E-3</v>
      </c>
      <c r="P8" s="7">
        <f>$B8 * IFERROR(VLOOKUP("buildings|SO2|Asthma symptoms wheeze", US_national_yearly!$D:$AM, 24, FALSE) / VLOOKUP("buildings|SO2|Asthma symptoms wheeze", US_national_yearly!$D:$AM, 10, FALSE), 1)</f>
        <v>3.1028346442362716E-3</v>
      </c>
      <c r="Q8" s="7">
        <f>$B8 * IFERROR(VLOOKUP("buildings|SO2|Asthma symptoms wheeze", US_national_yearly!$D:$AM, 25, FALSE) / VLOOKUP("buildings|SO2|Asthma symptoms wheeze", US_national_yearly!$D:$AM, 10, FALSE), 1)</f>
        <v>3.1028346442362716E-3</v>
      </c>
      <c r="R8" s="7">
        <f>$B8 * IFERROR(VLOOKUP("buildings|SO2|Asthma symptoms wheeze", US_national_yearly!$D:$AM, 26, FALSE) / VLOOKUP("buildings|SO2|Asthma symptoms wheeze", US_national_yearly!$D:$AM, 10, FALSE), 1)</f>
        <v>3.1028346442362716E-3</v>
      </c>
      <c r="S8" s="7">
        <f>$B8 * IFERROR(VLOOKUP("buildings|SO2|Asthma symptoms wheeze", US_national_yearly!$D:$AM, 27, FALSE) / VLOOKUP("buildings|SO2|Asthma symptoms wheeze", US_national_yearly!$D:$AM, 10, FALSE), 1)</f>
        <v>3.1028346442362716E-3</v>
      </c>
      <c r="T8" s="7">
        <f>$B8 * IFERROR(VLOOKUP("buildings|SO2|Asthma symptoms wheeze", US_national_yearly!$D:$AM, 28, FALSE) / VLOOKUP("buildings|SO2|Asthma symptoms wheeze", US_national_yearly!$D:$AM, 10, FALSE), 1)</f>
        <v>3.1028346442362716E-3</v>
      </c>
      <c r="U8" s="7">
        <f>$B8 * IFERROR(VLOOKUP("buildings|SO2|Asthma symptoms wheeze", US_national_yearly!$D:$AM, 29, FALSE) / VLOOKUP("buildings|SO2|Asthma symptoms wheeze", US_national_yearly!$D:$AM, 10, FALSE), 1)</f>
        <v>3.1028346442362716E-3</v>
      </c>
      <c r="V8" s="7">
        <f>$B8 * IFERROR(VLOOKUP("buildings|SO2|Asthma symptoms wheeze", US_national_yearly!$D:$AM, 30, FALSE) / VLOOKUP("buildings|SO2|Asthma symptoms wheeze", US_national_yearly!$D:$AM, 10, FALSE), 1)</f>
        <v>3.1028346442362716E-3</v>
      </c>
      <c r="W8" s="7">
        <f>$B8 * IFERROR(VLOOKUP("buildings|SO2|Asthma symptoms wheeze", US_national_yearly!$D:$AM, 31, FALSE) / VLOOKUP("buildings|SO2|Asthma symptoms wheeze", US_national_yearly!$D:$AM, 10, FALSE), 1)</f>
        <v>3.1028346442362716E-3</v>
      </c>
      <c r="X8" s="7">
        <f>$B8 * IFERROR(VLOOKUP("buildings|SO2|Asthma symptoms wheeze", US_national_yearly!$D:$AM, 32, FALSE) / VLOOKUP("buildings|SO2|Asthma symptoms wheeze", US_national_yearly!$D:$AM, 10, FALSE), 1)</f>
        <v>3.1028346442362716E-3</v>
      </c>
      <c r="Y8" s="7">
        <f>$B8 * IFERROR(VLOOKUP("buildings|SO2|Asthma symptoms wheeze", US_national_yearly!$D:$AM, 33, FALSE) / VLOOKUP("buildings|SO2|Asthma symptoms wheeze", US_national_yearly!$D:$AM, 10, FALSE), 1)</f>
        <v>3.1028346442362716E-3</v>
      </c>
      <c r="Z8" s="7">
        <f>$B8 * IFERROR(VLOOKUP("buildings|SO2|Asthma symptoms wheeze", US_national_yearly!$D:$AM, 34, FALSE) / VLOOKUP("buildings|SO2|Asthma symptoms wheeze", US_national_yearly!$D:$AM, 10, FALSE), 1)</f>
        <v>3.1028346442362716E-3</v>
      </c>
      <c r="AA8" s="7">
        <f>$B8 * IFERROR(VLOOKUP("buildings|SO2|Asthma symptoms wheeze", US_national_yearly!$D:$AM, 35, FALSE) / VLOOKUP("buildings|SO2|Asthma symptoms wheeze", US_national_yearly!$D:$AM, 10, FALSE), 1)</f>
        <v>3.1028346442362716E-3</v>
      </c>
      <c r="AB8" s="7">
        <f>$B8 * IFERROR(VLOOKUP("buildings|SO2|Asthma symptoms wheeze", US_national_yearly!$D:$AM, 36, FALSE) / VLOOKUP("buildings|SO2|Asthma symptoms wheeze", US_national_yearly!$D:$AM, 10, FALSE), 1)</f>
        <v>3.1028346442362716E-3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5.6384669520257053E-5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5.6717698974917259E-5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5.7050728429577464E-5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5.738375788423767E-5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5.7716787338897862E-5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5.8079747487428688E-5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5.8442707635959514E-5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5.8799900463952647E-5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5.9157093291945793E-5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5.9514286119938932E-5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5.9871478947932065E-5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6.0228671775925211E-5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6.0489481670328978E-5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6.0750291564732745E-5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6.1011101459136519E-5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6.1271911353540285E-5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6.1532721247944052E-5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6.1781406543719435E-5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6.2030091839494831E-5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6.2278777135270214E-5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6.2527462431045597E-5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6.2776147726820993E-5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6.3012463643218611E-5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6.3248779559616243E-5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6.3485095476013861E-5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6.3721411392411479E-5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6.395772730880911E-5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2.577038104014356E-4</v>
      </c>
      <c r="C13" s="7">
        <f>$B13 * IFERROR(VLOOKUP("buildings|SO2|Non-fatal heart attacks", US_national_yearly!$D:$AM, 11, FALSE) / VLOOKUP("buildings|SO2|Non-fatal heart attacks", US_national_yearly!$D:$AM, 10, FALSE), 1)</f>
        <v>2.6527150414327268E-4</v>
      </c>
      <c r="D13" s="7">
        <f>$B13 * IFERROR(VLOOKUP("buildings|SO2|Non-fatal heart attacks", US_national_yearly!$D:$AM, 12, FALSE) / VLOOKUP("buildings|SO2|Non-fatal heart attacks", US_national_yearly!$D:$AM, 10, FALSE), 1)</f>
        <v>2.7283919788510965E-4</v>
      </c>
      <c r="E13" s="7">
        <f>$B13 * IFERROR(VLOOKUP("buildings|SO2|Non-fatal heart attacks", US_national_yearly!$D:$AM, 13, FALSE) / VLOOKUP("buildings|SO2|Non-fatal heart attacks", US_national_yearly!$D:$AM, 10, FALSE), 1)</f>
        <v>2.8040689162694667E-4</v>
      </c>
      <c r="F13" s="7">
        <f>$B13 * IFERROR(VLOOKUP("buildings|SO2|Non-fatal heart attacks", US_national_yearly!$D:$AM, 14, FALSE) / VLOOKUP("buildings|SO2|Non-fatal heart attacks", US_national_yearly!$D:$AM, 10, FALSE), 1)</f>
        <v>2.8797458536878375E-4</v>
      </c>
      <c r="G13" s="7">
        <f>$B13 * IFERROR(VLOOKUP("buildings|SO2|Non-fatal heart attacks", US_national_yearly!$D:$AM, 15, FALSE) / VLOOKUP("buildings|SO2|Non-fatal heart attacks", US_national_yearly!$D:$AM, 10, FALSE), 1)</f>
        <v>2.951121410871934E-4</v>
      </c>
      <c r="H13" s="7">
        <f>$B13 * IFERROR(VLOOKUP("buildings|SO2|Non-fatal heart attacks", US_national_yearly!$D:$AM, 16, FALSE) / VLOOKUP("buildings|SO2|Non-fatal heart attacks", US_national_yearly!$D:$AM, 10, FALSE), 1)</f>
        <v>3.0224969680560317E-4</v>
      </c>
      <c r="I13" s="7">
        <f>$B13 * IFERROR(VLOOKUP("buildings|SO2|Non-fatal heart attacks", US_national_yearly!$D:$AM, 17, FALSE) / VLOOKUP("buildings|SO2|Non-fatal heart attacks", US_national_yearly!$D:$AM, 10, FALSE), 1)</f>
        <v>3.0799495605482392E-4</v>
      </c>
      <c r="J13" s="7">
        <f>$B13 * IFERROR(VLOOKUP("buildings|SO2|Non-fatal heart attacks", US_national_yearly!$D:$AM, 18, FALSE) / VLOOKUP("buildings|SO2|Non-fatal heart attacks", US_national_yearly!$D:$AM, 10, FALSE), 1)</f>
        <v>3.1374021530404474E-4</v>
      </c>
      <c r="K13" s="7">
        <f>$B13 * IFERROR(VLOOKUP("buildings|SO2|Non-fatal heart attacks", US_national_yearly!$D:$AM, 19, FALSE) / VLOOKUP("buildings|SO2|Non-fatal heart attacks", US_national_yearly!$D:$AM, 10, FALSE), 1)</f>
        <v>3.1948547455326549E-4</v>
      </c>
      <c r="L13" s="7">
        <f>$B13 * IFERROR(VLOOKUP("buildings|SO2|Non-fatal heart attacks", US_national_yearly!$D:$AM, 20, FALSE) / VLOOKUP("buildings|SO2|Non-fatal heart attacks", US_national_yearly!$D:$AM, 10, FALSE), 1)</f>
        <v>3.2523073380248636E-4</v>
      </c>
      <c r="M13" s="7">
        <f>$B13 * IFERROR(VLOOKUP("buildings|SO2|Non-fatal heart attacks", US_national_yearly!$D:$AM, 21, FALSE) / VLOOKUP("buildings|SO2|Non-fatal heart attacks", US_national_yearly!$D:$AM, 10, FALSE), 1)</f>
        <v>3.3097599305170717E-4</v>
      </c>
      <c r="N13" s="7">
        <f>$B13 * IFERROR(VLOOKUP("buildings|SO2|Non-fatal heart attacks", US_national_yearly!$D:$AM, 22, FALSE) / VLOOKUP("buildings|SO2|Non-fatal heart attacks", US_national_yearly!$D:$AM, 10, FALSE), 1)</f>
        <v>3.3470493337762916E-4</v>
      </c>
      <c r="O13" s="7">
        <f>$B13 * IFERROR(VLOOKUP("buildings|SO2|Non-fatal heart attacks", US_national_yearly!$D:$AM, 23, FALSE) / VLOOKUP("buildings|SO2|Non-fatal heart attacks", US_national_yearly!$D:$AM, 10, FALSE), 1)</f>
        <v>3.3843387370355126E-4</v>
      </c>
      <c r="P13" s="7">
        <f>$B13 * IFERROR(VLOOKUP("buildings|SO2|Non-fatal heart attacks", US_national_yearly!$D:$AM, 24, FALSE) / VLOOKUP("buildings|SO2|Non-fatal heart attacks", US_national_yearly!$D:$AM, 10, FALSE), 1)</f>
        <v>3.421628140294733E-4</v>
      </c>
      <c r="Q13" s="7">
        <f>$B13 * IFERROR(VLOOKUP("buildings|SO2|Non-fatal heart attacks", US_national_yearly!$D:$AM, 25, FALSE) / VLOOKUP("buildings|SO2|Non-fatal heart attacks", US_national_yearly!$D:$AM, 10, FALSE), 1)</f>
        <v>3.4589175435539534E-4</v>
      </c>
      <c r="R13" s="7">
        <f>$B13 * IFERROR(VLOOKUP("buildings|SO2|Non-fatal heart attacks", US_national_yearly!$D:$AM, 26, FALSE) / VLOOKUP("buildings|SO2|Non-fatal heart attacks", US_national_yearly!$D:$AM, 10, FALSE), 1)</f>
        <v>3.4962069468131744E-4</v>
      </c>
      <c r="S13" s="7">
        <f>$B13 * IFERROR(VLOOKUP("buildings|SO2|Non-fatal heart attacks", US_national_yearly!$D:$AM, 27, FALSE) / VLOOKUP("buildings|SO2|Non-fatal heart attacks", US_national_yearly!$D:$AM, 10, FALSE), 1)</f>
        <v>3.5156794121383355E-4</v>
      </c>
      <c r="T13" s="7">
        <f>$B13 * IFERROR(VLOOKUP("buildings|SO2|Non-fatal heart attacks", US_national_yearly!$D:$AM, 28, FALSE) / VLOOKUP("buildings|SO2|Non-fatal heart attacks", US_national_yearly!$D:$AM, 10, FALSE), 1)</f>
        <v>3.5351518774634966E-4</v>
      </c>
      <c r="U13" s="7">
        <f>$B13 * IFERROR(VLOOKUP("buildings|SO2|Non-fatal heart attacks", US_national_yearly!$D:$AM, 29, FALSE) / VLOOKUP("buildings|SO2|Non-fatal heart attacks", US_national_yearly!$D:$AM, 10, FALSE), 1)</f>
        <v>3.5546243427886566E-4</v>
      </c>
      <c r="V13" s="7">
        <f>$B13 * IFERROR(VLOOKUP("buildings|SO2|Non-fatal heart attacks", US_national_yearly!$D:$AM, 30, FALSE) / VLOOKUP("buildings|SO2|Non-fatal heart attacks", US_national_yearly!$D:$AM, 10, FALSE), 1)</f>
        <v>3.5740968081138176E-4</v>
      </c>
      <c r="W13" s="7">
        <f>$B13 * IFERROR(VLOOKUP("buildings|SO2|Non-fatal heart attacks", US_national_yearly!$D:$AM, 31, FALSE) / VLOOKUP("buildings|SO2|Non-fatal heart attacks", US_national_yearly!$D:$AM, 10, FALSE), 1)</f>
        <v>3.5935692734389782E-4</v>
      </c>
      <c r="X13" s="7">
        <f>$B13 * IFERROR(VLOOKUP("buildings|SO2|Non-fatal heart attacks", US_national_yearly!$D:$AM, 32, FALSE) / VLOOKUP("buildings|SO2|Non-fatal heart attacks", US_national_yearly!$D:$AM, 10, FALSE), 1)</f>
        <v>3.6082763092035029E-4</v>
      </c>
      <c r="Y13" s="7">
        <f>$B13 * IFERROR(VLOOKUP("buildings|SO2|Non-fatal heart attacks", US_national_yearly!$D:$AM, 33, FALSE) / VLOOKUP("buildings|SO2|Non-fatal heart attacks", US_national_yearly!$D:$AM, 10, FALSE), 1)</f>
        <v>3.6229833449680275E-4</v>
      </c>
      <c r="Z13" s="7">
        <f>$B13 * IFERROR(VLOOKUP("buildings|SO2|Non-fatal heart attacks", US_national_yearly!$D:$AM, 34, FALSE) / VLOOKUP("buildings|SO2|Non-fatal heart attacks", US_national_yearly!$D:$AM, 10, FALSE), 1)</f>
        <v>3.6376903807325511E-4</v>
      </c>
      <c r="AA13" s="7">
        <f>$B13 * IFERROR(VLOOKUP("buildings|SO2|Non-fatal heart attacks", US_national_yearly!$D:$AM, 35, FALSE) / VLOOKUP("buildings|SO2|Non-fatal heart attacks", US_national_yearly!$D:$AM, 10, FALSE), 1)</f>
        <v>3.6523974164970758E-4</v>
      </c>
      <c r="AB13" s="7">
        <f>$B13 * IFERROR(VLOOKUP("buildings|SO2|Non-fatal heart attacks", US_national_yearly!$D:$AM, 36, FALSE) / VLOOKUP("buildings|SO2|Non-fatal heart attacks", US_national_yearly!$D:$AM, 10, FALSE), 1)</f>
        <v>3.6671044522616005E-4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0.21695063264766887</v>
      </c>
      <c r="C14" s="7">
        <f>$B14 * IFERROR(VLOOKUP("buildings|SO2|Minor restricted activity days", US_national_yearly!$D:$AM, 11, FALSE) / VLOOKUP("buildings|SO2|Minor restricted activity days", US_national_yearly!$D:$AM, 10, FALSE), 1)</f>
        <v>0.21749983174562962</v>
      </c>
      <c r="D14" s="7">
        <f>$B14 * IFERROR(VLOOKUP("buildings|SO2|Minor restricted activity days", US_national_yearly!$D:$AM, 12, FALSE) / VLOOKUP("buildings|SO2|Minor restricted activity days", US_national_yearly!$D:$AM, 10, FALSE), 1)</f>
        <v>0.21804903084359045</v>
      </c>
      <c r="E14" s="7">
        <f>$B14 * IFERROR(VLOOKUP("buildings|SO2|Minor restricted activity days", US_national_yearly!$D:$AM, 13, FALSE) / VLOOKUP("buildings|SO2|Minor restricted activity days", US_national_yearly!$D:$AM, 10, FALSE), 1)</f>
        <v>0.21859822994155126</v>
      </c>
      <c r="F14" s="7">
        <f>$B14 * IFERROR(VLOOKUP("buildings|SO2|Minor restricted activity days", US_national_yearly!$D:$AM, 14, FALSE) / VLOOKUP("buildings|SO2|Minor restricted activity days", US_national_yearly!$D:$AM, 10, FALSE), 1)</f>
        <v>0.21914742903951201</v>
      </c>
      <c r="G14" s="7">
        <f>$B14 * IFERROR(VLOOKUP("buildings|SO2|Minor restricted activity days", US_national_yearly!$D:$AM, 15, FALSE) / VLOOKUP("buildings|SO2|Minor restricted activity days", US_national_yearly!$D:$AM, 10, FALSE), 1)</f>
        <v>0.21995496931930086</v>
      </c>
      <c r="H14" s="7">
        <f>$B14 * IFERROR(VLOOKUP("buildings|SO2|Minor restricted activity days", US_national_yearly!$D:$AM, 16, FALSE) / VLOOKUP("buildings|SO2|Minor restricted activity days", US_national_yearly!$D:$AM, 10, FALSE), 1)</f>
        <v>0.22076250959908969</v>
      </c>
      <c r="I14" s="7">
        <f>$B14 * IFERROR(VLOOKUP("buildings|SO2|Minor restricted activity days", US_national_yearly!$D:$AM, 17, FALSE) / VLOOKUP("buildings|SO2|Minor restricted activity days", US_national_yearly!$D:$AM, 10, FALSE), 1)</f>
        <v>0.22213783196284828</v>
      </c>
      <c r="J14" s="7">
        <f>$B14 * IFERROR(VLOOKUP("buildings|SO2|Minor restricted activity days", US_national_yearly!$D:$AM, 18, FALSE) / VLOOKUP("buildings|SO2|Minor restricted activity days", US_national_yearly!$D:$AM, 10, FALSE), 1)</f>
        <v>0.22351315432660693</v>
      </c>
      <c r="K14" s="7">
        <f>$B14 * IFERROR(VLOOKUP("buildings|SO2|Minor restricted activity days", US_national_yearly!$D:$AM, 19, FALSE) / VLOOKUP("buildings|SO2|Minor restricted activity days", US_national_yearly!$D:$AM, 10, FALSE), 1)</f>
        <v>0.22488847669036552</v>
      </c>
      <c r="L14" s="7">
        <f>$B14 * IFERROR(VLOOKUP("buildings|SO2|Minor restricted activity days", US_national_yearly!$D:$AM, 20, FALSE) / VLOOKUP("buildings|SO2|Minor restricted activity days", US_national_yearly!$D:$AM, 10, FALSE), 1)</f>
        <v>0.22626379905412411</v>
      </c>
      <c r="M14" s="7">
        <f>$B14 * IFERROR(VLOOKUP("buildings|SO2|Minor restricted activity days", US_national_yearly!$D:$AM, 21, FALSE) / VLOOKUP("buildings|SO2|Minor restricted activity days", US_national_yearly!$D:$AM, 10, FALSE), 1)</f>
        <v>0.2276391214178827</v>
      </c>
      <c r="N14" s="7">
        <f>$B14 * IFERROR(VLOOKUP("buildings|SO2|Minor restricted activity days", US_national_yearly!$D:$AM, 22, FALSE) / VLOOKUP("buildings|SO2|Minor restricted activity days", US_national_yearly!$D:$AM, 10, FALSE), 1)</f>
        <v>0.22951980247824921</v>
      </c>
      <c r="O14" s="7">
        <f>$B14 * IFERROR(VLOOKUP("buildings|SO2|Minor restricted activity days", US_national_yearly!$D:$AM, 23, FALSE) / VLOOKUP("buildings|SO2|Minor restricted activity days", US_national_yearly!$D:$AM, 10, FALSE), 1)</f>
        <v>0.23140048353861573</v>
      </c>
      <c r="P14" s="7">
        <f>$B14 * IFERROR(VLOOKUP("buildings|SO2|Minor restricted activity days", US_national_yearly!$D:$AM, 24, FALSE) / VLOOKUP("buildings|SO2|Minor restricted activity days", US_national_yearly!$D:$AM, 10, FALSE), 1)</f>
        <v>0.23328116459898218</v>
      </c>
      <c r="Q14" s="7">
        <f>$B14 * IFERROR(VLOOKUP("buildings|SO2|Minor restricted activity days", US_national_yearly!$D:$AM, 25, FALSE) / VLOOKUP("buildings|SO2|Minor restricted activity days", US_national_yearly!$D:$AM, 10, FALSE), 1)</f>
        <v>0.23516184565934869</v>
      </c>
      <c r="R14" s="7">
        <f>$B14 * IFERROR(VLOOKUP("buildings|SO2|Minor restricted activity days", US_national_yearly!$D:$AM, 26, FALSE) / VLOOKUP("buildings|SO2|Minor restricted activity days", US_national_yearly!$D:$AM, 10, FALSE), 1)</f>
        <v>0.23704252671971521</v>
      </c>
      <c r="S14" s="7">
        <f>$B14 * IFERROR(VLOOKUP("buildings|SO2|Minor restricted activity days", US_national_yearly!$D:$AM, 27, FALSE) / VLOOKUP("buildings|SO2|Minor restricted activity days", US_national_yearly!$D:$AM, 10, FALSE), 1)</f>
        <v>0.23895975896368185</v>
      </c>
      <c r="T14" s="7">
        <f>$B14 * IFERROR(VLOOKUP("buildings|SO2|Minor restricted activity days", US_national_yearly!$D:$AM, 28, FALSE) / VLOOKUP("buildings|SO2|Minor restricted activity days", US_national_yearly!$D:$AM, 10, FALSE), 1)</f>
        <v>0.24087699120764849</v>
      </c>
      <c r="U14" s="7">
        <f>$B14 * IFERROR(VLOOKUP("buildings|SO2|Minor restricted activity days", US_national_yearly!$D:$AM, 29, FALSE) / VLOOKUP("buildings|SO2|Minor restricted activity days", US_national_yearly!$D:$AM, 10, FALSE), 1)</f>
        <v>0.24279422345161514</v>
      </c>
      <c r="V14" s="7">
        <f>$B14 * IFERROR(VLOOKUP("buildings|SO2|Minor restricted activity days", US_national_yearly!$D:$AM, 30, FALSE) / VLOOKUP("buildings|SO2|Minor restricted activity days", US_national_yearly!$D:$AM, 10, FALSE), 1)</f>
        <v>0.24471145569558181</v>
      </c>
      <c r="W14" s="7">
        <f>$B14 * IFERROR(VLOOKUP("buildings|SO2|Minor restricted activity days", US_national_yearly!$D:$AM, 31, FALSE) / VLOOKUP("buildings|SO2|Minor restricted activity days", US_national_yearly!$D:$AM, 10, FALSE), 1)</f>
        <v>0.24662868793954848</v>
      </c>
      <c r="X14" s="7">
        <f>$B14 * IFERROR(VLOOKUP("buildings|SO2|Minor restricted activity days", US_national_yearly!$D:$AM, 32, FALSE) / VLOOKUP("buildings|SO2|Minor restricted activity days", US_national_yearly!$D:$AM, 10, FALSE), 1)</f>
        <v>0.24831478274601931</v>
      </c>
      <c r="Y14" s="7">
        <f>$B14 * IFERROR(VLOOKUP("buildings|SO2|Minor restricted activity days", US_national_yearly!$D:$AM, 33, FALSE) / VLOOKUP("buildings|SO2|Minor restricted activity days", US_national_yearly!$D:$AM, 10, FALSE), 1)</f>
        <v>0.25000087755249017</v>
      </c>
      <c r="Z14" s="7">
        <f>$B14 * IFERROR(VLOOKUP("buildings|SO2|Minor restricted activity days", US_national_yearly!$D:$AM, 34, FALSE) / VLOOKUP("buildings|SO2|Minor restricted activity days", US_national_yearly!$D:$AM, 10, FALSE), 1)</f>
        <v>0.25168697235896104</v>
      </c>
      <c r="AA14" s="7">
        <f>$B14 * IFERROR(VLOOKUP("buildings|SO2|Minor restricted activity days", US_national_yearly!$D:$AM, 35, FALSE) / VLOOKUP("buildings|SO2|Minor restricted activity days", US_national_yearly!$D:$AM, 10, FALSE), 1)</f>
        <v>0.2533730671654319</v>
      </c>
      <c r="AB14" s="7">
        <f>$B14 * IFERROR(VLOOKUP("buildings|SO2|Minor restricted activity days", US_national_yearly!$D:$AM, 36, FALSE) / VLOOKUP("buildings|SO2|Minor restricted activity days", US_national_yearly!$D:$AM, 10, FALSE), 1)</f>
        <v>0.25505916197190276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3.6396921193227731E-2</v>
      </c>
      <c r="C15" s="7">
        <f>$B15 * IFERROR(VLOOKUP("buildings|SO2|Work loss days", US_national_yearly!$D:$AM, 11, FALSE) / VLOOKUP("buildings|SO2|Work loss days", US_national_yearly!$D:$AM, 10, FALSE), 1)</f>
        <v>3.6515174197448853E-2</v>
      </c>
      <c r="D15" s="7">
        <f>$B15 * IFERROR(VLOOKUP("buildings|SO2|Work loss days", US_national_yearly!$D:$AM, 12, FALSE) / VLOOKUP("buildings|SO2|Work loss days", US_national_yearly!$D:$AM, 10, FALSE), 1)</f>
        <v>3.6633427201669976E-2</v>
      </c>
      <c r="E15" s="7">
        <f>$B15 * IFERROR(VLOOKUP("buildings|SO2|Work loss days", US_national_yearly!$D:$AM, 13, FALSE) / VLOOKUP("buildings|SO2|Work loss days", US_national_yearly!$D:$AM, 10, FALSE), 1)</f>
        <v>3.6751680205891098E-2</v>
      </c>
      <c r="F15" s="7">
        <f>$B15 * IFERROR(VLOOKUP("buildings|SO2|Work loss days", US_national_yearly!$D:$AM, 14, FALSE) / VLOOKUP("buildings|SO2|Work loss days", US_national_yearly!$D:$AM, 10, FALSE), 1)</f>
        <v>3.6869933210112206E-2</v>
      </c>
      <c r="G15" s="7">
        <f>$B15 * IFERROR(VLOOKUP("buildings|SO2|Work loss days", US_national_yearly!$D:$AM, 15, FALSE) / VLOOKUP("buildings|SO2|Work loss days", US_national_yearly!$D:$AM, 10, FALSE), 1)</f>
        <v>3.7024378177583174E-2</v>
      </c>
      <c r="H15" s="7">
        <f>$B15 * IFERROR(VLOOKUP("buildings|SO2|Work loss days", US_national_yearly!$D:$AM, 16, FALSE) / VLOOKUP("buildings|SO2|Work loss days", US_national_yearly!$D:$AM, 10, FALSE), 1)</f>
        <v>3.7178823145054149E-2</v>
      </c>
      <c r="I15" s="7">
        <f>$B15 * IFERROR(VLOOKUP("buildings|SO2|Work loss days", US_national_yearly!$D:$AM, 17, FALSE) / VLOOKUP("buildings|SO2|Work loss days", US_national_yearly!$D:$AM, 10, FALSE), 1)</f>
        <v>3.7404630332116093E-2</v>
      </c>
      <c r="J15" s="7">
        <f>$B15 * IFERROR(VLOOKUP("buildings|SO2|Work loss days", US_national_yearly!$D:$AM, 18, FALSE) / VLOOKUP("buildings|SO2|Work loss days", US_national_yearly!$D:$AM, 10, FALSE), 1)</f>
        <v>3.7630437519178037E-2</v>
      </c>
      <c r="K15" s="7">
        <f>$B15 * IFERROR(VLOOKUP("buildings|SO2|Work loss days", US_national_yearly!$D:$AM, 19, FALSE) / VLOOKUP("buildings|SO2|Work loss days", US_national_yearly!$D:$AM, 10, FALSE), 1)</f>
        <v>3.7856244706239987E-2</v>
      </c>
      <c r="L15" s="7">
        <f>$B15 * IFERROR(VLOOKUP("buildings|SO2|Work loss days", US_national_yearly!$D:$AM, 20, FALSE) / VLOOKUP("buildings|SO2|Work loss days", US_national_yearly!$D:$AM, 10, FALSE), 1)</f>
        <v>3.8082051893301931E-2</v>
      </c>
      <c r="M15" s="7">
        <f>$B15 * IFERROR(VLOOKUP("buildings|SO2|Work loss days", US_national_yearly!$D:$AM, 21, FALSE) / VLOOKUP("buildings|SO2|Work loss days", US_national_yearly!$D:$AM, 10, FALSE), 1)</f>
        <v>3.8307859080363868E-2</v>
      </c>
      <c r="N15" s="7">
        <f>$B15 * IFERROR(VLOOKUP("buildings|SO2|Work loss days", US_national_yearly!$D:$AM, 22, FALSE) / VLOOKUP("buildings|SO2|Work loss days", US_national_yearly!$D:$AM, 10, FALSE), 1)</f>
        <v>3.8591017593927621E-2</v>
      </c>
      <c r="O15" s="7">
        <f>$B15 * IFERROR(VLOOKUP("buildings|SO2|Work loss days", US_national_yearly!$D:$AM, 23, FALSE) / VLOOKUP("buildings|SO2|Work loss days", US_national_yearly!$D:$AM, 10, FALSE), 1)</f>
        <v>3.8874176107491366E-2</v>
      </c>
      <c r="P15" s="7">
        <f>$B15 * IFERROR(VLOOKUP("buildings|SO2|Work loss days", US_national_yearly!$D:$AM, 24, FALSE) / VLOOKUP("buildings|SO2|Work loss days", US_national_yearly!$D:$AM, 10, FALSE), 1)</f>
        <v>3.9157334621055112E-2</v>
      </c>
      <c r="Q15" s="7">
        <f>$B15 * IFERROR(VLOOKUP("buildings|SO2|Work loss days", US_national_yearly!$D:$AM, 25, FALSE) / VLOOKUP("buildings|SO2|Work loss days", US_national_yearly!$D:$AM, 10, FALSE), 1)</f>
        <v>3.9440493134618872E-2</v>
      </c>
      <c r="R15" s="7">
        <f>$B15 * IFERROR(VLOOKUP("buildings|SO2|Work loss days", US_national_yearly!$D:$AM, 26, FALSE) / VLOOKUP("buildings|SO2|Work loss days", US_national_yearly!$D:$AM, 10, FALSE), 1)</f>
        <v>3.9723651648182604E-2</v>
      </c>
      <c r="S15" s="7">
        <f>$B15 * IFERROR(VLOOKUP("buildings|SO2|Work loss days", US_national_yearly!$D:$AM, 27, FALSE) / VLOOKUP("buildings|SO2|Work loss days", US_national_yearly!$D:$AM, 10, FALSE), 1)</f>
        <v>4.0039964510968848E-2</v>
      </c>
      <c r="T15" s="7">
        <f>$B15 * IFERROR(VLOOKUP("buildings|SO2|Work loss days", US_national_yearly!$D:$AM, 28, FALSE) / VLOOKUP("buildings|SO2|Work loss days", US_national_yearly!$D:$AM, 10, FALSE), 1)</f>
        <v>4.0356277373755085E-2</v>
      </c>
      <c r="U15" s="7">
        <f>$B15 * IFERROR(VLOOKUP("buildings|SO2|Work loss days", US_national_yearly!$D:$AM, 29, FALSE) / VLOOKUP("buildings|SO2|Work loss days", US_national_yearly!$D:$AM, 10, FALSE), 1)</f>
        <v>4.0672590236541323E-2</v>
      </c>
      <c r="V15" s="7">
        <f>$B15 * IFERROR(VLOOKUP("buildings|SO2|Work loss days", US_national_yearly!$D:$AM, 30, FALSE) / VLOOKUP("buildings|SO2|Work loss days", US_national_yearly!$D:$AM, 10, FALSE), 1)</f>
        <v>4.0988903099327553E-2</v>
      </c>
      <c r="W15" s="7">
        <f>$B15 * IFERROR(VLOOKUP("buildings|SO2|Work loss days", US_national_yearly!$D:$AM, 31, FALSE) / VLOOKUP("buildings|SO2|Work loss days", US_national_yearly!$D:$AM, 10, FALSE), 1)</f>
        <v>4.1305215962113791E-2</v>
      </c>
      <c r="X15" s="7">
        <f>$B15 * IFERROR(VLOOKUP("buildings|SO2|Work loss days", US_national_yearly!$D:$AM, 32, FALSE) / VLOOKUP("buildings|SO2|Work loss days", US_national_yearly!$D:$AM, 10, FALSE), 1)</f>
        <v>4.1589227627849369E-2</v>
      </c>
      <c r="Y15" s="7">
        <f>$B15 * IFERROR(VLOOKUP("buildings|SO2|Work loss days", US_national_yearly!$D:$AM, 33, FALSE) / VLOOKUP("buildings|SO2|Work loss days", US_national_yearly!$D:$AM, 10, FALSE), 1)</f>
        <v>4.1873239293584955E-2</v>
      </c>
      <c r="Z15" s="7">
        <f>$B15 * IFERROR(VLOOKUP("buildings|SO2|Work loss days", US_national_yearly!$D:$AM, 34, FALSE) / VLOOKUP("buildings|SO2|Work loss days", US_national_yearly!$D:$AM, 10, FALSE), 1)</f>
        <v>4.2157250959320526E-2</v>
      </c>
      <c r="AA15" s="7">
        <f>$B15 * IFERROR(VLOOKUP("buildings|SO2|Work loss days", US_national_yearly!$D:$AM, 35, FALSE) / VLOOKUP("buildings|SO2|Work loss days", US_national_yearly!$D:$AM, 10, FALSE), 1)</f>
        <v>4.2441262625056105E-2</v>
      </c>
      <c r="AB15" s="7">
        <f>$B15 * IFERROR(VLOOKUP("buildings|SO2|Work loss days", US_national_yearly!$D:$AM, 36, FALSE) / VLOOKUP("buildings|SO2|Work loss days", US_national_yearly!$D:$AM, 10, FALSE), 1)</f>
        <v>4.2725274290791676E-2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5.7496250073120319E-5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5.9235474753727567E-5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6.0974699434334821E-5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6.2713924114942075E-5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6.4453148795549328E-5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6.6119221862261712E-5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6.7785294928974081E-5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6.921311619088576E-5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7.0640937452797425E-5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7.2068758714709103E-5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7.3496579976620782E-5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7.4924401238532433E-5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7.5883154600780005E-5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7.6841907963027563E-5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7.7800661325275121E-5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7.8759414687522679E-5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7.9718168049770237E-5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8.02223561895796E-5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8.0726544329388962E-5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8.1230732469198325E-5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8.1734920609007687E-5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8.2239108748817036E-5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8.2577672218135545E-5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8.291623568745404E-5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8.3254799156772536E-5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8.3593362626091045E-5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8.393192609540954E-5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5.6348182904750422E-3</v>
      </c>
      <c r="C2" s="7">
        <f>$B2 * IFERROR(VLOOKUP("industry|PM25|Premature mortality", US_national_yearly!$D:$AM, 11, FALSE) / VLOOKUP("industry|PM25|Premature mortality", US_national_yearly!$D:$AM, 10, FALSE), 1)</f>
        <v>5.704990192182912E-3</v>
      </c>
      <c r="D2" s="7">
        <f>$B2 * IFERROR(VLOOKUP("industry|PM25|Premature mortality", US_national_yearly!$D:$AM, 12, FALSE) / VLOOKUP("industry|PM25|Premature mortality", US_national_yearly!$D:$AM, 10, FALSE), 1)</f>
        <v>5.7751620938907809E-3</v>
      </c>
      <c r="E2" s="7">
        <f>$B2 * IFERROR(VLOOKUP("industry|PM25|Premature mortality", US_national_yearly!$D:$AM, 13, FALSE) / VLOOKUP("industry|PM25|Premature mortality", US_national_yearly!$D:$AM, 10, FALSE), 1)</f>
        <v>5.8453339955986507E-3</v>
      </c>
      <c r="F2" s="7">
        <f>$B2 * IFERROR(VLOOKUP("industry|PM25|Premature mortality", US_national_yearly!$D:$AM, 14, FALSE) / VLOOKUP("industry|PM25|Premature mortality", US_national_yearly!$D:$AM, 10, FALSE), 1)</f>
        <v>5.9155058973065196E-3</v>
      </c>
      <c r="G2" s="7">
        <f>$B2 * IFERROR(VLOOKUP("industry|PM25|Premature mortality", US_national_yearly!$D:$AM, 15, FALSE) / VLOOKUP("industry|PM25|Premature mortality", US_national_yearly!$D:$AM, 10, FALSE), 1)</f>
        <v>6.0520242421378346E-3</v>
      </c>
      <c r="H2" s="7">
        <f>$B2 * IFERROR(VLOOKUP("industry|PM25|Premature mortality", US_national_yearly!$D:$AM, 16, FALSE) / VLOOKUP("industry|PM25|Premature mortality", US_national_yearly!$D:$AM, 10, FALSE), 1)</f>
        <v>6.1885425869691504E-3</v>
      </c>
      <c r="I2" s="7">
        <f>$B2 * IFERROR(VLOOKUP("industry|PM25|Premature mortality", US_national_yearly!$D:$AM, 17, FALSE) / VLOOKUP("industry|PM25|Premature mortality", US_national_yearly!$D:$AM, 10, FALSE), 1)</f>
        <v>6.2786851962300712E-3</v>
      </c>
      <c r="J2" s="7">
        <f>$B2 * IFERROR(VLOOKUP("industry|PM25|Premature mortality", US_national_yearly!$D:$AM, 18, FALSE) / VLOOKUP("industry|PM25|Premature mortality", US_national_yearly!$D:$AM, 10, FALSE), 1)</f>
        <v>6.3688278054909921E-3</v>
      </c>
      <c r="K2" s="7">
        <f>$B2 * IFERROR(VLOOKUP("industry|PM25|Premature mortality", US_national_yearly!$D:$AM, 19, FALSE) / VLOOKUP("industry|PM25|Premature mortality", US_national_yearly!$D:$AM, 10, FALSE), 1)</f>
        <v>6.4589704147519121E-3</v>
      </c>
      <c r="L2" s="7">
        <f>$B2 * IFERROR(VLOOKUP("industry|PM25|Premature mortality", US_national_yearly!$D:$AM, 20, FALSE) / VLOOKUP("industry|PM25|Premature mortality", US_national_yearly!$D:$AM, 10, FALSE), 1)</f>
        <v>6.5491130240128322E-3</v>
      </c>
      <c r="M2" s="7">
        <f>$B2 * IFERROR(VLOOKUP("industry|PM25|Premature mortality", US_national_yearly!$D:$AM, 21, FALSE) / VLOOKUP("industry|PM25|Premature mortality", US_national_yearly!$D:$AM, 10, FALSE), 1)</f>
        <v>6.6392556332737539E-3</v>
      </c>
      <c r="N2" s="7">
        <f>$B2 * IFERROR(VLOOKUP("industry|PM25|Premature mortality", US_national_yearly!$D:$AM, 22, FALSE) / VLOOKUP("industry|PM25|Premature mortality", US_national_yearly!$D:$AM, 10, FALSE), 1)</f>
        <v>6.7094844327985495E-3</v>
      </c>
      <c r="O2" s="7">
        <f>$B2 * IFERROR(VLOOKUP("industry|PM25|Premature mortality", US_national_yearly!$D:$AM, 23, FALSE) / VLOOKUP("industry|PM25|Premature mortality", US_national_yearly!$D:$AM, 10, FALSE), 1)</f>
        <v>6.7797132323233443E-3</v>
      </c>
      <c r="P2" s="7">
        <f>$B2 * IFERROR(VLOOKUP("industry|PM25|Premature mortality", US_national_yearly!$D:$AM, 24, FALSE) / VLOOKUP("industry|PM25|Premature mortality", US_national_yearly!$D:$AM, 10, FALSE), 1)</f>
        <v>6.8499420318481408E-3</v>
      </c>
      <c r="Q2" s="7">
        <f>$B2 * IFERROR(VLOOKUP("industry|PM25|Premature mortality", US_national_yearly!$D:$AM, 25, FALSE) / VLOOKUP("industry|PM25|Premature mortality", US_national_yearly!$D:$AM, 10, FALSE), 1)</f>
        <v>6.9201708313729364E-3</v>
      </c>
      <c r="R2" s="7">
        <f>$B2 * IFERROR(VLOOKUP("industry|PM25|Premature mortality", US_national_yearly!$D:$AM, 26, FALSE) / VLOOKUP("industry|PM25|Premature mortality", US_national_yearly!$D:$AM, 10, FALSE), 1)</f>
        <v>6.9903996308977312E-3</v>
      </c>
      <c r="S2" s="7">
        <f>$B2 * IFERROR(VLOOKUP("industry|PM25|Premature mortality", US_national_yearly!$D:$AM, 27, FALSE) / VLOOKUP("industry|PM25|Premature mortality", US_national_yearly!$D:$AM, 10, FALSE), 1)</f>
        <v>7.0283205778743727E-3</v>
      </c>
      <c r="T2" s="7">
        <f>$B2 * IFERROR(VLOOKUP("industry|PM25|Premature mortality", US_national_yearly!$D:$AM, 28, FALSE) / VLOOKUP("industry|PM25|Premature mortality", US_national_yearly!$D:$AM, 10, FALSE), 1)</f>
        <v>7.0662415248510142E-3</v>
      </c>
      <c r="U2" s="7">
        <f>$B2 * IFERROR(VLOOKUP("industry|PM25|Premature mortality", US_national_yearly!$D:$AM, 29, FALSE) / VLOOKUP("industry|PM25|Premature mortality", US_national_yearly!$D:$AM, 10, FALSE), 1)</f>
        <v>7.1041624718276583E-3</v>
      </c>
      <c r="V2" s="7">
        <f>$B2 * IFERROR(VLOOKUP("industry|PM25|Premature mortality", US_national_yearly!$D:$AM, 30, FALSE) / VLOOKUP("industry|PM25|Premature mortality", US_national_yearly!$D:$AM, 10, FALSE), 1)</f>
        <v>7.1420834188042999E-3</v>
      </c>
      <c r="W2" s="7">
        <f>$B2 * IFERROR(VLOOKUP("industry|PM25|Premature mortality", US_national_yearly!$D:$AM, 31, FALSE) / VLOOKUP("industry|PM25|Premature mortality", US_national_yearly!$D:$AM, 10, FALSE), 1)</f>
        <v>7.1800043657809414E-3</v>
      </c>
      <c r="X2" s="7">
        <f>$B2 * IFERROR(VLOOKUP("industry|PM25|Premature mortality", US_national_yearly!$D:$AM, 32, FALSE) / VLOOKUP("industry|PM25|Premature mortality", US_national_yearly!$D:$AM, 10, FALSE), 1)</f>
        <v>7.1878337121780512E-3</v>
      </c>
      <c r="Y2" s="7">
        <f>$B2 * IFERROR(VLOOKUP("industry|PM25|Premature mortality", US_national_yearly!$D:$AM, 33, FALSE) / VLOOKUP("industry|PM25|Premature mortality", US_national_yearly!$D:$AM, 10, FALSE), 1)</f>
        <v>7.1956630585751644E-3</v>
      </c>
      <c r="Z2" s="7">
        <f>$B2 * IFERROR(VLOOKUP("industry|PM25|Premature mortality", US_national_yearly!$D:$AM, 34, FALSE) / VLOOKUP("industry|PM25|Premature mortality", US_national_yearly!$D:$AM, 10, FALSE), 1)</f>
        <v>7.2034924049722742E-3</v>
      </c>
      <c r="AA2" s="7">
        <f>$B2 * IFERROR(VLOOKUP("industry|PM25|Premature mortality", US_national_yearly!$D:$AM, 35, FALSE) / VLOOKUP("industry|PM25|Premature mortality", US_national_yearly!$D:$AM, 10, FALSE), 1)</f>
        <v>7.2113217513693866E-3</v>
      </c>
      <c r="AB2" s="7">
        <f>$B2 * IFERROR(VLOOKUP("industry|PM25|Premature mortality", US_national_yearly!$D:$AM, 36, FALSE) / VLOOKUP("industry|PM25|Premature mortality", US_national_yearly!$D:$AM, 10, FALSE), 1)</f>
        <v>7.2191510977664981E-3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7.4304789380613649E-6</v>
      </c>
      <c r="C3" s="7">
        <f>$B3 * IFERROR(VLOOKUP("industry|PM25|Infant mortality", US_national_yearly!$D:$AM, 11, FALSE) / VLOOKUP("industry|PM25|Infant mortality", US_national_yearly!$D:$AM, 10, FALSE), 1)</f>
        <v>7.365782881071171E-6</v>
      </c>
      <c r="D3" s="7">
        <f>$B3 * IFERROR(VLOOKUP("industry|PM25|Infant mortality", US_national_yearly!$D:$AM, 12, FALSE) / VLOOKUP("industry|PM25|Infant mortality", US_national_yearly!$D:$AM, 10, FALSE), 1)</f>
        <v>7.3010868240809763E-6</v>
      </c>
      <c r="E3" s="7">
        <f>$B3 * IFERROR(VLOOKUP("industry|PM25|Infant mortality", US_national_yearly!$D:$AM, 13, FALSE) / VLOOKUP("industry|PM25|Infant mortality", US_national_yearly!$D:$AM, 10, FALSE), 1)</f>
        <v>7.2363907670907807E-6</v>
      </c>
      <c r="F3" s="7">
        <f>$B3 * IFERROR(VLOOKUP("industry|PM25|Infant mortality", US_national_yearly!$D:$AM, 14, FALSE) / VLOOKUP("industry|PM25|Infant mortality", US_national_yearly!$D:$AM, 10, FALSE), 1)</f>
        <v>7.1716947101005868E-6</v>
      </c>
      <c r="G3" s="7">
        <f>$B3 * IFERROR(VLOOKUP("industry|PM25|Infant mortality", US_national_yearly!$D:$AM, 15, FALSE) / VLOOKUP("industry|PM25|Infant mortality", US_national_yearly!$D:$AM, 10, FALSE), 1)</f>
        <v>4.7651249960898422E-6</v>
      </c>
      <c r="H3" s="7">
        <f>$B3 * IFERROR(VLOOKUP("industry|PM25|Infant mortality", US_national_yearly!$D:$AM, 16, FALSE) / VLOOKUP("industry|PM25|Infant mortality", US_national_yearly!$D:$AM, 10, FALSE), 1)</f>
        <v>2.3585552820790989E-6</v>
      </c>
      <c r="I3" s="7">
        <f>$B3 * IFERROR(VLOOKUP("industry|PM25|Infant mortality", US_national_yearly!$D:$AM, 17, FALSE) / VLOOKUP("industry|PM25|Infant mortality", US_national_yearly!$D:$AM, 10, FALSE), 1)</f>
        <v>2.3428567704022375E-6</v>
      </c>
      <c r="J3" s="7">
        <f>$B3 * IFERROR(VLOOKUP("industry|PM25|Infant mortality", US_national_yearly!$D:$AM, 18, FALSE) / VLOOKUP("industry|PM25|Infant mortality", US_national_yearly!$D:$AM, 10, FALSE), 1)</f>
        <v>2.3271582587253765E-6</v>
      </c>
      <c r="K3" s="7">
        <f>$B3 * IFERROR(VLOOKUP("industry|PM25|Infant mortality", US_national_yearly!$D:$AM, 19, FALSE) / VLOOKUP("industry|PM25|Infant mortality", US_national_yearly!$D:$AM, 10, FALSE), 1)</f>
        <v>2.3114597470485155E-6</v>
      </c>
      <c r="L3" s="7">
        <f>$B3 * IFERROR(VLOOKUP("industry|PM25|Infant mortality", US_national_yearly!$D:$AM, 20, FALSE) / VLOOKUP("industry|PM25|Infant mortality", US_national_yearly!$D:$AM, 10, FALSE), 1)</f>
        <v>2.2957612353716541E-6</v>
      </c>
      <c r="M3" s="7">
        <f>$B3 * IFERROR(VLOOKUP("industry|PM25|Infant mortality", US_national_yearly!$D:$AM, 21, FALSE) / VLOOKUP("industry|PM25|Infant mortality", US_national_yearly!$D:$AM, 10, FALSE), 1)</f>
        <v>2.2800627236947931E-6</v>
      </c>
      <c r="N3" s="7">
        <f>$B3 * IFERROR(VLOOKUP("industry|PM25|Infant mortality", US_national_yearly!$D:$AM, 22, FALSE) / VLOOKUP("industry|PM25|Infant mortality", US_national_yearly!$D:$AM, 10, FALSE), 1)</f>
        <v>2.2700455445374736E-6</v>
      </c>
      <c r="O3" s="7">
        <f>$B3 * IFERROR(VLOOKUP("industry|PM25|Infant mortality", US_national_yearly!$D:$AM, 23, FALSE) / VLOOKUP("industry|PM25|Infant mortality", US_national_yearly!$D:$AM, 10, FALSE), 1)</f>
        <v>2.2600283653801542E-6</v>
      </c>
      <c r="P3" s="7">
        <f>$B3 * IFERROR(VLOOKUP("industry|PM25|Infant mortality", US_national_yearly!$D:$AM, 24, FALSE) / VLOOKUP("industry|PM25|Infant mortality", US_national_yearly!$D:$AM, 10, FALSE), 1)</f>
        <v>2.2500111862228351E-6</v>
      </c>
      <c r="Q3" s="7">
        <f>$B3 * IFERROR(VLOOKUP("industry|PM25|Infant mortality", US_national_yearly!$D:$AM, 25, FALSE) / VLOOKUP("industry|PM25|Infant mortality", US_national_yearly!$D:$AM, 10, FALSE), 1)</f>
        <v>2.2399940070655156E-6</v>
      </c>
      <c r="R3" s="7">
        <f>$B3 * IFERROR(VLOOKUP("industry|PM25|Infant mortality", US_national_yearly!$D:$AM, 26, FALSE) / VLOOKUP("industry|PM25|Infant mortality", US_national_yearly!$D:$AM, 10, FALSE), 1)</f>
        <v>2.2299768279081961E-6</v>
      </c>
      <c r="S3" s="7">
        <f>$B3 * IFERROR(VLOOKUP("industry|PM25|Infant mortality", US_national_yearly!$D:$AM, 27, FALSE) / VLOOKUP("industry|PM25|Infant mortality", US_national_yearly!$D:$AM, 10, FALSE), 1)</f>
        <v>2.2176566019995018E-6</v>
      </c>
      <c r="T3" s="7">
        <f>$B3 * IFERROR(VLOOKUP("industry|PM25|Infant mortality", US_national_yearly!$D:$AM, 28, FALSE) / VLOOKUP("industry|PM25|Infant mortality", US_national_yearly!$D:$AM, 10, FALSE), 1)</f>
        <v>2.205336376090808E-6</v>
      </c>
      <c r="U3" s="7">
        <f>$B3 * IFERROR(VLOOKUP("industry|PM25|Infant mortality", US_national_yearly!$D:$AM, 29, FALSE) / VLOOKUP("industry|PM25|Infant mortality", US_national_yearly!$D:$AM, 10, FALSE), 1)</f>
        <v>2.1930161501821137E-6</v>
      </c>
      <c r="V3" s="7">
        <f>$B3 * IFERROR(VLOOKUP("industry|PM25|Infant mortality", US_national_yearly!$D:$AM, 30, FALSE) / VLOOKUP("industry|PM25|Infant mortality", US_national_yearly!$D:$AM, 10, FALSE), 1)</f>
        <v>2.1806959242734195E-6</v>
      </c>
      <c r="W3" s="7">
        <f>$B3 * IFERROR(VLOOKUP("industry|PM25|Infant mortality", US_national_yearly!$D:$AM, 31, FALSE) / VLOOKUP("industry|PM25|Infant mortality", US_national_yearly!$D:$AM, 10, FALSE), 1)</f>
        <v>2.1683756983647256E-6</v>
      </c>
      <c r="X3" s="7">
        <f>$B3 * IFERROR(VLOOKUP("industry|PM25|Infant mortality", US_national_yearly!$D:$AM, 32, FALSE) / VLOOKUP("industry|PM25|Infant mortality", US_national_yearly!$D:$AM, 10, FALSE), 1)</f>
        <v>2.1552099932142132E-6</v>
      </c>
      <c r="Y3" s="7">
        <f>$B3 * IFERROR(VLOOKUP("industry|PM25|Infant mortality", US_national_yearly!$D:$AM, 33, FALSE) / VLOOKUP("industry|PM25|Infant mortality", US_national_yearly!$D:$AM, 10, FALSE), 1)</f>
        <v>2.1420442880637008E-6</v>
      </c>
      <c r="Z3" s="7">
        <f>$B3 * IFERROR(VLOOKUP("industry|PM25|Infant mortality", US_national_yearly!$D:$AM, 34, FALSE) / VLOOKUP("industry|PM25|Infant mortality", US_national_yearly!$D:$AM, 10, FALSE), 1)</f>
        <v>2.128878582913188E-6</v>
      </c>
      <c r="AA3" s="7">
        <f>$B3 * IFERROR(VLOOKUP("industry|PM25|Infant mortality", US_national_yearly!$D:$AM, 35, FALSE) / VLOOKUP("industry|PM25|Infant mortality", US_national_yearly!$D:$AM, 10, FALSE), 1)</f>
        <v>2.1157128777626756E-6</v>
      </c>
      <c r="AB3" s="7">
        <f>$B3 * IFERROR(VLOOKUP("industry|PM25|Infant mortality", US_national_yearly!$D:$AM, 36, FALSE) / VLOOKUP("industry|PM25|Infant mortality", US_national_yearly!$D:$AM, 10, FALSE), 1)</f>
        <v>2.1025471726121632E-6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1.1473491379298869E-2</v>
      </c>
      <c r="C6" s="7">
        <f>$B6 * IFERROR(VLOOKUP("industry|PM25|Asthma symptoms cough", US_national_yearly!$D:$AM, 11, FALSE) / VLOOKUP("industry|PM25|Asthma symptoms cough", US_national_yearly!$D:$AM, 10, FALSE), 1)</f>
        <v>1.1473491379298869E-2</v>
      </c>
      <c r="D6" s="7">
        <f>$B6 * IFERROR(VLOOKUP("industry|PM25|Asthma symptoms cough", US_national_yearly!$D:$AM, 12, FALSE) / VLOOKUP("industry|PM25|Asthma symptoms cough", US_national_yearly!$D:$AM, 10, FALSE), 1)</f>
        <v>1.1473491379298869E-2</v>
      </c>
      <c r="E6" s="7">
        <f>$B6 * IFERROR(VLOOKUP("industry|PM25|Asthma symptoms cough", US_national_yearly!$D:$AM, 13, FALSE) / VLOOKUP("industry|PM25|Asthma symptoms cough", US_national_yearly!$D:$AM, 10, FALSE), 1)</f>
        <v>1.1473491379298869E-2</v>
      </c>
      <c r="F6" s="7">
        <f>$B6 * IFERROR(VLOOKUP("industry|PM25|Asthma symptoms cough", US_national_yearly!$D:$AM, 14, FALSE) / VLOOKUP("industry|PM25|Asthma symptoms cough", US_national_yearly!$D:$AM, 10, FALSE), 1)</f>
        <v>1.1473491379298869E-2</v>
      </c>
      <c r="G6" s="7">
        <f>$B6 * IFERROR(VLOOKUP("industry|PM25|Asthma symptoms cough", US_national_yearly!$D:$AM, 15, FALSE) / VLOOKUP("industry|PM25|Asthma symptoms cough", US_national_yearly!$D:$AM, 10, FALSE), 1)</f>
        <v>1.1473491379298869E-2</v>
      </c>
      <c r="H6" s="7">
        <f>$B6 * IFERROR(VLOOKUP("industry|PM25|Asthma symptoms cough", US_national_yearly!$D:$AM, 16, FALSE) / VLOOKUP("industry|PM25|Asthma symptoms cough", US_national_yearly!$D:$AM, 10, FALSE), 1)</f>
        <v>1.1473491379298869E-2</v>
      </c>
      <c r="I6" s="7">
        <f>$B6 * IFERROR(VLOOKUP("industry|PM25|Asthma symptoms cough", US_national_yearly!$D:$AM, 17, FALSE) / VLOOKUP("industry|PM25|Asthma symptoms cough", US_national_yearly!$D:$AM, 10, FALSE), 1)</f>
        <v>1.1473491379298869E-2</v>
      </c>
      <c r="J6" s="7">
        <f>$B6 * IFERROR(VLOOKUP("industry|PM25|Asthma symptoms cough", US_national_yearly!$D:$AM, 18, FALSE) / VLOOKUP("industry|PM25|Asthma symptoms cough", US_national_yearly!$D:$AM, 10, FALSE), 1)</f>
        <v>1.1473491379298869E-2</v>
      </c>
      <c r="K6" s="7">
        <f>$B6 * IFERROR(VLOOKUP("industry|PM25|Asthma symptoms cough", US_national_yearly!$D:$AM, 19, FALSE) / VLOOKUP("industry|PM25|Asthma symptoms cough", US_national_yearly!$D:$AM, 10, FALSE), 1)</f>
        <v>1.1473491379298869E-2</v>
      </c>
      <c r="L6" s="7">
        <f>$B6 * IFERROR(VLOOKUP("industry|PM25|Asthma symptoms cough", US_national_yearly!$D:$AM, 20, FALSE) / VLOOKUP("industry|PM25|Asthma symptoms cough", US_national_yearly!$D:$AM, 10, FALSE), 1)</f>
        <v>1.1473491379298869E-2</v>
      </c>
      <c r="M6" s="7">
        <f>$B6 * IFERROR(VLOOKUP("industry|PM25|Asthma symptoms cough", US_national_yearly!$D:$AM, 21, FALSE) / VLOOKUP("industry|PM25|Asthma symptoms cough", US_national_yearly!$D:$AM, 10, FALSE), 1)</f>
        <v>1.1473491379298869E-2</v>
      </c>
      <c r="N6" s="7">
        <f>$B6 * IFERROR(VLOOKUP("industry|PM25|Asthma symptoms cough", US_national_yearly!$D:$AM, 22, FALSE) / VLOOKUP("industry|PM25|Asthma symptoms cough", US_national_yearly!$D:$AM, 10, FALSE), 1)</f>
        <v>1.1473491379298869E-2</v>
      </c>
      <c r="O6" s="7">
        <f>$B6 * IFERROR(VLOOKUP("industry|PM25|Asthma symptoms cough", US_national_yearly!$D:$AM, 23, FALSE) / VLOOKUP("industry|PM25|Asthma symptoms cough", US_national_yearly!$D:$AM, 10, FALSE), 1)</f>
        <v>1.1473491379298869E-2</v>
      </c>
      <c r="P6" s="7">
        <f>$B6 * IFERROR(VLOOKUP("industry|PM25|Asthma symptoms cough", US_national_yearly!$D:$AM, 24, FALSE) / VLOOKUP("industry|PM25|Asthma symptoms cough", US_national_yearly!$D:$AM, 10, FALSE), 1)</f>
        <v>1.1473491379298869E-2</v>
      </c>
      <c r="Q6" s="7">
        <f>$B6 * IFERROR(VLOOKUP("industry|PM25|Asthma symptoms cough", US_national_yearly!$D:$AM, 25, FALSE) / VLOOKUP("industry|PM25|Asthma symptoms cough", US_national_yearly!$D:$AM, 10, FALSE), 1)</f>
        <v>1.1473491379298869E-2</v>
      </c>
      <c r="R6" s="7">
        <f>$B6 * IFERROR(VLOOKUP("industry|PM25|Asthma symptoms cough", US_national_yearly!$D:$AM, 26, FALSE) / VLOOKUP("industry|PM25|Asthma symptoms cough", US_national_yearly!$D:$AM, 10, FALSE), 1)</f>
        <v>1.1473491379298869E-2</v>
      </c>
      <c r="S6" s="7">
        <f>$B6 * IFERROR(VLOOKUP("industry|PM25|Asthma symptoms cough", US_national_yearly!$D:$AM, 27, FALSE) / VLOOKUP("industry|PM25|Asthma symptoms cough", US_national_yearly!$D:$AM, 10, FALSE), 1)</f>
        <v>1.1473491379298869E-2</v>
      </c>
      <c r="T6" s="7">
        <f>$B6 * IFERROR(VLOOKUP("industry|PM25|Asthma symptoms cough", US_national_yearly!$D:$AM, 28, FALSE) / VLOOKUP("industry|PM25|Asthma symptoms cough", US_national_yearly!$D:$AM, 10, FALSE), 1)</f>
        <v>1.1473491379298869E-2</v>
      </c>
      <c r="U6" s="7">
        <f>$B6 * IFERROR(VLOOKUP("industry|PM25|Asthma symptoms cough", US_national_yearly!$D:$AM, 29, FALSE) / VLOOKUP("industry|PM25|Asthma symptoms cough", US_national_yearly!$D:$AM, 10, FALSE), 1)</f>
        <v>1.1473491379298869E-2</v>
      </c>
      <c r="V6" s="7">
        <f>$B6 * IFERROR(VLOOKUP("industry|PM25|Asthma symptoms cough", US_national_yearly!$D:$AM, 30, FALSE) / VLOOKUP("industry|PM25|Asthma symptoms cough", US_national_yearly!$D:$AM, 10, FALSE), 1)</f>
        <v>1.1473491379298869E-2</v>
      </c>
      <c r="W6" s="7">
        <f>$B6 * IFERROR(VLOOKUP("industry|PM25|Asthma symptoms cough", US_national_yearly!$D:$AM, 31, FALSE) / VLOOKUP("industry|PM25|Asthma symptoms cough", US_national_yearly!$D:$AM, 10, FALSE), 1)</f>
        <v>1.1473491379298869E-2</v>
      </c>
      <c r="X6" s="7">
        <f>$B6 * IFERROR(VLOOKUP("industry|PM25|Asthma symptoms cough", US_national_yearly!$D:$AM, 32, FALSE) / VLOOKUP("industry|PM25|Asthma symptoms cough", US_national_yearly!$D:$AM, 10, FALSE), 1)</f>
        <v>1.1473491379298869E-2</v>
      </c>
      <c r="Y6" s="7">
        <f>$B6 * IFERROR(VLOOKUP("industry|PM25|Asthma symptoms cough", US_national_yearly!$D:$AM, 33, FALSE) / VLOOKUP("industry|PM25|Asthma symptoms cough", US_national_yearly!$D:$AM, 10, FALSE), 1)</f>
        <v>1.1473491379298869E-2</v>
      </c>
      <c r="Z6" s="7">
        <f>$B6 * IFERROR(VLOOKUP("industry|PM25|Asthma symptoms cough", US_national_yearly!$D:$AM, 34, FALSE) / VLOOKUP("industry|PM25|Asthma symptoms cough", US_national_yearly!$D:$AM, 10, FALSE), 1)</f>
        <v>1.1473491379298869E-2</v>
      </c>
      <c r="AA6" s="7">
        <f>$B6 * IFERROR(VLOOKUP("industry|PM25|Asthma symptoms cough", US_national_yearly!$D:$AM, 35, FALSE) / VLOOKUP("industry|PM25|Asthma symptoms cough", US_national_yearly!$D:$AM, 10, FALSE), 1)</f>
        <v>1.1473491379298869E-2</v>
      </c>
      <c r="AB6" s="7">
        <f>$B6 * IFERROR(VLOOKUP("industry|PM25|Asthma symptoms cough", US_national_yearly!$D:$AM, 36, FALSE) / VLOOKUP("industry|PM25|Asthma symptoms cough", US_national_yearly!$D:$AM, 10, FALSE), 1)</f>
        <v>1.1473491379298869E-2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1.545054057858589E-2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1.545054057858589E-2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1.545054057858589E-2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1.545054057858589E-2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1.545054057858589E-2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1.545054057858589E-2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1.545054057858589E-2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1.545054057858589E-2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1.545054057858589E-2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1.545054057858589E-2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1.545054057858589E-2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1.545054057858589E-2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1.545054057858589E-2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1.545054057858589E-2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1.545054057858589E-2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1.545054057858589E-2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1.545054057858589E-2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1.545054057858589E-2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1.545054057858589E-2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1.545054057858589E-2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1.545054057858589E-2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1.545054057858589E-2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1.545054057858589E-2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1.545054057858589E-2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1.545054057858589E-2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1.545054057858589E-2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1.545054057858589E-2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2.3606450969210213E-2</v>
      </c>
      <c r="C8" s="7">
        <f>$B8 * IFERROR(VLOOKUP("industry|PM25|Asthma symptoms wheeze", US_national_yearly!$D:$AM, 11, FALSE) / VLOOKUP("industry|PM25|Asthma symptoms wheeze", US_national_yearly!$D:$AM, 10, FALSE), 1)</f>
        <v>2.3606450969210213E-2</v>
      </c>
      <c r="D8" s="7">
        <f>$B8 * IFERROR(VLOOKUP("industry|PM25|Asthma symptoms wheeze", US_national_yearly!$D:$AM, 12, FALSE) / VLOOKUP("industry|PM25|Asthma symptoms wheeze", US_national_yearly!$D:$AM, 10, FALSE), 1)</f>
        <v>2.3606450969210213E-2</v>
      </c>
      <c r="E8" s="7">
        <f>$B8 * IFERROR(VLOOKUP("industry|PM25|Asthma symptoms wheeze", US_national_yearly!$D:$AM, 13, FALSE) / VLOOKUP("industry|PM25|Asthma symptoms wheeze", US_national_yearly!$D:$AM, 10, FALSE), 1)</f>
        <v>2.3606450969210213E-2</v>
      </c>
      <c r="F8" s="7">
        <f>$B8 * IFERROR(VLOOKUP("industry|PM25|Asthma symptoms wheeze", US_national_yearly!$D:$AM, 14, FALSE) / VLOOKUP("industry|PM25|Asthma symptoms wheeze", US_national_yearly!$D:$AM, 10, FALSE), 1)</f>
        <v>2.3606450969210213E-2</v>
      </c>
      <c r="G8" s="7">
        <f>$B8 * IFERROR(VLOOKUP("industry|PM25|Asthma symptoms wheeze", US_national_yearly!$D:$AM, 15, FALSE) / VLOOKUP("industry|PM25|Asthma symptoms wheeze", US_national_yearly!$D:$AM, 10, FALSE), 1)</f>
        <v>2.3606450969210213E-2</v>
      </c>
      <c r="H8" s="7">
        <f>$B8 * IFERROR(VLOOKUP("industry|PM25|Asthma symptoms wheeze", US_national_yearly!$D:$AM, 16, FALSE) / VLOOKUP("industry|PM25|Asthma symptoms wheeze", US_national_yearly!$D:$AM, 10, FALSE), 1)</f>
        <v>2.3606450969210213E-2</v>
      </c>
      <c r="I8" s="7">
        <f>$B8 * IFERROR(VLOOKUP("industry|PM25|Asthma symptoms wheeze", US_national_yearly!$D:$AM, 17, FALSE) / VLOOKUP("industry|PM25|Asthma symptoms wheeze", US_national_yearly!$D:$AM, 10, FALSE), 1)</f>
        <v>2.3606450969210213E-2</v>
      </c>
      <c r="J8" s="7">
        <f>$B8 * IFERROR(VLOOKUP("industry|PM25|Asthma symptoms wheeze", US_national_yearly!$D:$AM, 18, FALSE) / VLOOKUP("industry|PM25|Asthma symptoms wheeze", US_national_yearly!$D:$AM, 10, FALSE), 1)</f>
        <v>2.3606450969210213E-2</v>
      </c>
      <c r="K8" s="7">
        <f>$B8 * IFERROR(VLOOKUP("industry|PM25|Asthma symptoms wheeze", US_national_yearly!$D:$AM, 19, FALSE) / VLOOKUP("industry|PM25|Asthma symptoms wheeze", US_national_yearly!$D:$AM, 10, FALSE), 1)</f>
        <v>2.3606450969210213E-2</v>
      </c>
      <c r="L8" s="7">
        <f>$B8 * IFERROR(VLOOKUP("industry|PM25|Asthma symptoms wheeze", US_national_yearly!$D:$AM, 20, FALSE) / VLOOKUP("industry|PM25|Asthma symptoms wheeze", US_national_yearly!$D:$AM, 10, FALSE), 1)</f>
        <v>2.3606450969210213E-2</v>
      </c>
      <c r="M8" s="7">
        <f>$B8 * IFERROR(VLOOKUP("industry|PM25|Asthma symptoms wheeze", US_national_yearly!$D:$AM, 21, FALSE) / VLOOKUP("industry|PM25|Asthma symptoms wheeze", US_national_yearly!$D:$AM, 10, FALSE), 1)</f>
        <v>2.3606450969210213E-2</v>
      </c>
      <c r="N8" s="7">
        <f>$B8 * IFERROR(VLOOKUP("industry|PM25|Asthma symptoms wheeze", US_national_yearly!$D:$AM, 22, FALSE) / VLOOKUP("industry|PM25|Asthma symptoms wheeze", US_national_yearly!$D:$AM, 10, FALSE), 1)</f>
        <v>2.3606450969210213E-2</v>
      </c>
      <c r="O8" s="7">
        <f>$B8 * IFERROR(VLOOKUP("industry|PM25|Asthma symptoms wheeze", US_national_yearly!$D:$AM, 23, FALSE) / VLOOKUP("industry|PM25|Asthma symptoms wheeze", US_national_yearly!$D:$AM, 10, FALSE), 1)</f>
        <v>2.3606450969210213E-2</v>
      </c>
      <c r="P8" s="7">
        <f>$B8 * IFERROR(VLOOKUP("industry|PM25|Asthma symptoms wheeze", US_national_yearly!$D:$AM, 24, FALSE) / VLOOKUP("industry|PM25|Asthma symptoms wheeze", US_national_yearly!$D:$AM, 10, FALSE), 1)</f>
        <v>2.3606450969210213E-2</v>
      </c>
      <c r="Q8" s="7">
        <f>$B8 * IFERROR(VLOOKUP("industry|PM25|Asthma symptoms wheeze", US_national_yearly!$D:$AM, 25, FALSE) / VLOOKUP("industry|PM25|Asthma symptoms wheeze", US_national_yearly!$D:$AM, 10, FALSE), 1)</f>
        <v>2.3606450969210213E-2</v>
      </c>
      <c r="R8" s="7">
        <f>$B8 * IFERROR(VLOOKUP("industry|PM25|Asthma symptoms wheeze", US_national_yearly!$D:$AM, 26, FALSE) / VLOOKUP("industry|PM25|Asthma symptoms wheeze", US_national_yearly!$D:$AM, 10, FALSE), 1)</f>
        <v>2.3606450969210213E-2</v>
      </c>
      <c r="S8" s="7">
        <f>$B8 * IFERROR(VLOOKUP("industry|PM25|Asthma symptoms wheeze", US_national_yearly!$D:$AM, 27, FALSE) / VLOOKUP("industry|PM25|Asthma symptoms wheeze", US_national_yearly!$D:$AM, 10, FALSE), 1)</f>
        <v>2.3606450969210213E-2</v>
      </c>
      <c r="T8" s="7">
        <f>$B8 * IFERROR(VLOOKUP("industry|PM25|Asthma symptoms wheeze", US_national_yearly!$D:$AM, 28, FALSE) / VLOOKUP("industry|PM25|Asthma symptoms wheeze", US_national_yearly!$D:$AM, 10, FALSE), 1)</f>
        <v>2.3606450969210213E-2</v>
      </c>
      <c r="U8" s="7">
        <f>$B8 * IFERROR(VLOOKUP("industry|PM25|Asthma symptoms wheeze", US_national_yearly!$D:$AM, 29, FALSE) / VLOOKUP("industry|PM25|Asthma symptoms wheeze", US_national_yearly!$D:$AM, 10, FALSE), 1)</f>
        <v>2.3606450969210213E-2</v>
      </c>
      <c r="V8" s="7">
        <f>$B8 * IFERROR(VLOOKUP("industry|PM25|Asthma symptoms wheeze", US_national_yearly!$D:$AM, 30, FALSE) / VLOOKUP("industry|PM25|Asthma symptoms wheeze", US_national_yearly!$D:$AM, 10, FALSE), 1)</f>
        <v>2.3606450969210213E-2</v>
      </c>
      <c r="W8" s="7">
        <f>$B8 * IFERROR(VLOOKUP("industry|PM25|Asthma symptoms wheeze", US_national_yearly!$D:$AM, 31, FALSE) / VLOOKUP("industry|PM25|Asthma symptoms wheeze", US_national_yearly!$D:$AM, 10, FALSE), 1)</f>
        <v>2.3606450969210213E-2</v>
      </c>
      <c r="X8" s="7">
        <f>$B8 * IFERROR(VLOOKUP("industry|PM25|Asthma symptoms wheeze", US_national_yearly!$D:$AM, 32, FALSE) / VLOOKUP("industry|PM25|Asthma symptoms wheeze", US_national_yearly!$D:$AM, 10, FALSE), 1)</f>
        <v>2.3606450969210213E-2</v>
      </c>
      <c r="Y8" s="7">
        <f>$B8 * IFERROR(VLOOKUP("industry|PM25|Asthma symptoms wheeze", US_national_yearly!$D:$AM, 33, FALSE) / VLOOKUP("industry|PM25|Asthma symptoms wheeze", US_national_yearly!$D:$AM, 10, FALSE), 1)</f>
        <v>2.3606450969210213E-2</v>
      </c>
      <c r="Z8" s="7">
        <f>$B8 * IFERROR(VLOOKUP("industry|PM25|Asthma symptoms wheeze", US_national_yearly!$D:$AM, 34, FALSE) / VLOOKUP("industry|PM25|Asthma symptoms wheeze", US_national_yearly!$D:$AM, 10, FALSE), 1)</f>
        <v>2.3606450969210213E-2</v>
      </c>
      <c r="AA8" s="7">
        <f>$B8 * IFERROR(VLOOKUP("industry|PM25|Asthma symptoms wheeze", US_national_yearly!$D:$AM, 35, FALSE) / VLOOKUP("industry|PM25|Asthma symptoms wheeze", US_national_yearly!$D:$AM, 10, FALSE), 1)</f>
        <v>2.3606450969210213E-2</v>
      </c>
      <c r="AB8" s="7">
        <f>$B8 * IFERROR(VLOOKUP("industry|PM25|Asthma symptoms wheeze", US_national_yearly!$D:$AM, 36, FALSE) / VLOOKUP("industry|PM25|Asthma symptoms wheeze", US_national_yearly!$D:$AM, 10, FALSE), 1)</f>
        <v>2.3606450969210213E-2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4.2700797002220614E-4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4.2943233495472757E-4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4.3185669988724895E-4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4.3428106481977039E-4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4.3670542975229193E-4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4.3932662553233814E-4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4.4194782131238446E-4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4.4443435527309421E-4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4.4692088923380395E-4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4.4940742319451359E-4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4.5189395715522333E-4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4.5438049111593307E-4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4.5613914693260789E-4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4.578978027492826E-4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4.5965645856595741E-4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4.6141511438263212E-4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4.6317377019930694E-4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4.6483249356024756E-4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4.6649121692118818E-4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4.6814994028212886E-4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4.6980866364306948E-4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4.7146738700401015E-4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4.7306449644503757E-4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4.7466160588606503E-4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4.762587153270925E-4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4.7785582476812002E-4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4.7945293420914744E-4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1.9369564832169533E-3</v>
      </c>
      <c r="C13" s="7">
        <f>$B13 * IFERROR(VLOOKUP("industry|PM25|Non-fatal heart attacks", US_national_yearly!$D:$AM, 11, FALSE) / VLOOKUP("industry|PM25|Non-fatal heart attacks", US_national_yearly!$D:$AM, 10, FALSE), 1)</f>
        <v>1.9933417943248407E-3</v>
      </c>
      <c r="D13" s="7">
        <f>$B13 * IFERROR(VLOOKUP("industry|PM25|Non-fatal heart attacks", US_national_yearly!$D:$AM, 12, FALSE) / VLOOKUP("industry|PM25|Non-fatal heart attacks", US_national_yearly!$D:$AM, 10, FALSE), 1)</f>
        <v>2.0497271054327275E-3</v>
      </c>
      <c r="E13" s="7">
        <f>$B13 * IFERROR(VLOOKUP("industry|PM25|Non-fatal heart attacks", US_national_yearly!$D:$AM, 13, FALSE) / VLOOKUP("industry|PM25|Non-fatal heart attacks", US_national_yearly!$D:$AM, 10, FALSE), 1)</f>
        <v>2.1061124165406148E-3</v>
      </c>
      <c r="F13" s="7">
        <f>$B13 * IFERROR(VLOOKUP("industry|PM25|Non-fatal heart attacks", US_national_yearly!$D:$AM, 14, FALSE) / VLOOKUP("industry|PM25|Non-fatal heart attacks", US_national_yearly!$D:$AM, 10, FALSE), 1)</f>
        <v>2.162497727648502E-3</v>
      </c>
      <c r="G13" s="7">
        <f>$B13 * IFERROR(VLOOKUP("industry|PM25|Non-fatal heart attacks", US_national_yearly!$D:$AM, 15, FALSE) / VLOOKUP("industry|PM25|Non-fatal heart attacks", US_national_yearly!$D:$AM, 10, FALSE), 1)</f>
        <v>2.2157294259675998E-3</v>
      </c>
      <c r="H13" s="7">
        <f>$B13 * IFERROR(VLOOKUP("industry|PM25|Non-fatal heart attacks", US_national_yearly!$D:$AM, 16, FALSE) / VLOOKUP("industry|PM25|Non-fatal heart attacks", US_national_yearly!$D:$AM, 10, FALSE), 1)</f>
        <v>2.268961124286698E-3</v>
      </c>
      <c r="I13" s="7">
        <f>$B13 * IFERROR(VLOOKUP("industry|PM25|Non-fatal heart attacks", US_national_yearly!$D:$AM, 17, FALSE) / VLOOKUP("industry|PM25|Non-fatal heart attacks", US_national_yearly!$D:$AM, 10, FALSE), 1)</f>
        <v>2.3119462122864727E-3</v>
      </c>
      <c r="J13" s="7">
        <f>$B13 * IFERROR(VLOOKUP("industry|PM25|Non-fatal heart attacks", US_national_yearly!$D:$AM, 18, FALSE) / VLOOKUP("industry|PM25|Non-fatal heart attacks", US_national_yearly!$D:$AM, 10, FALSE), 1)</f>
        <v>2.3549313002862466E-3</v>
      </c>
      <c r="K13" s="7">
        <f>$B13 * IFERROR(VLOOKUP("industry|PM25|Non-fatal heart attacks", US_national_yearly!$D:$AM, 19, FALSE) / VLOOKUP("industry|PM25|Non-fatal heart attacks", US_national_yearly!$D:$AM, 10, FALSE), 1)</f>
        <v>2.3979163882860209E-3</v>
      </c>
      <c r="L13" s="7">
        <f>$B13 * IFERROR(VLOOKUP("industry|PM25|Non-fatal heart attacks", US_national_yearly!$D:$AM, 20, FALSE) / VLOOKUP("industry|PM25|Non-fatal heart attacks", US_national_yearly!$D:$AM, 10, FALSE), 1)</f>
        <v>2.4409014762857948E-3</v>
      </c>
      <c r="M13" s="7">
        <f>$B13 * IFERROR(VLOOKUP("industry|PM25|Non-fatal heart attacks", US_national_yearly!$D:$AM, 21, FALSE) / VLOOKUP("industry|PM25|Non-fatal heart attacks", US_national_yearly!$D:$AM, 10, FALSE), 1)</f>
        <v>2.483886564285569E-3</v>
      </c>
      <c r="N13" s="7">
        <f>$B13 * IFERROR(VLOOKUP("industry|PM25|Non-fatal heart attacks", US_national_yearly!$D:$AM, 22, FALSE) / VLOOKUP("industry|PM25|Non-fatal heart attacks", US_national_yearly!$D:$AM, 10, FALSE), 1)</f>
        <v>2.5116788175567795E-3</v>
      </c>
      <c r="O13" s="7">
        <f>$B13 * IFERROR(VLOOKUP("industry|PM25|Non-fatal heart attacks", US_national_yearly!$D:$AM, 23, FALSE) / VLOOKUP("industry|PM25|Non-fatal heart attacks", US_national_yearly!$D:$AM, 10, FALSE), 1)</f>
        <v>2.5394710708279899E-3</v>
      </c>
      <c r="P13" s="7">
        <f>$B13 * IFERROR(VLOOKUP("industry|PM25|Non-fatal heart attacks", US_national_yearly!$D:$AM, 24, FALSE) / VLOOKUP("industry|PM25|Non-fatal heart attacks", US_national_yearly!$D:$AM, 10, FALSE), 1)</f>
        <v>2.5672633240992008E-3</v>
      </c>
      <c r="Q13" s="7">
        <f>$B13 * IFERROR(VLOOKUP("industry|PM25|Non-fatal heart attacks", US_national_yearly!$D:$AM, 25, FALSE) / VLOOKUP("industry|PM25|Non-fatal heart attacks", US_national_yearly!$D:$AM, 10, FALSE), 1)</f>
        <v>2.5950555773704108E-3</v>
      </c>
      <c r="R13" s="7">
        <f>$B13 * IFERROR(VLOOKUP("industry|PM25|Non-fatal heart attacks", US_national_yearly!$D:$AM, 26, FALSE) / VLOOKUP("industry|PM25|Non-fatal heart attacks", US_national_yearly!$D:$AM, 10, FALSE), 1)</f>
        <v>2.6228478306416217E-3</v>
      </c>
      <c r="S13" s="7">
        <f>$B13 * IFERROR(VLOOKUP("industry|PM25|Non-fatal heart attacks", US_national_yearly!$D:$AM, 27, FALSE) / VLOOKUP("industry|PM25|Non-fatal heart attacks", US_national_yearly!$D:$AM, 10, FALSE), 1)</f>
        <v>2.6376917784366673E-3</v>
      </c>
      <c r="T13" s="7">
        <f>$B13 * IFERROR(VLOOKUP("industry|PM25|Non-fatal heart attacks", US_national_yearly!$D:$AM, 28, FALSE) / VLOOKUP("industry|PM25|Non-fatal heart attacks", US_national_yearly!$D:$AM, 10, FALSE), 1)</f>
        <v>2.6525357262317142E-3</v>
      </c>
      <c r="U13" s="7">
        <f>$B13 * IFERROR(VLOOKUP("industry|PM25|Non-fatal heart attacks", US_national_yearly!$D:$AM, 29, FALSE) / VLOOKUP("industry|PM25|Non-fatal heart attacks", US_national_yearly!$D:$AM, 10, FALSE), 1)</f>
        <v>2.6673796740267603E-3</v>
      </c>
      <c r="V13" s="7">
        <f>$B13 * IFERROR(VLOOKUP("industry|PM25|Non-fatal heart attacks", US_national_yearly!$D:$AM, 30, FALSE) / VLOOKUP("industry|PM25|Non-fatal heart attacks", US_national_yearly!$D:$AM, 10, FALSE), 1)</f>
        <v>2.6822236218218064E-3</v>
      </c>
      <c r="W13" s="7">
        <f>$B13 * IFERROR(VLOOKUP("industry|PM25|Non-fatal heart attacks", US_national_yearly!$D:$AM, 31, FALSE) / VLOOKUP("industry|PM25|Non-fatal heart attacks", US_national_yearly!$D:$AM, 10, FALSE), 1)</f>
        <v>2.6970675696168529E-3</v>
      </c>
      <c r="X13" s="7">
        <f>$B13 * IFERROR(VLOOKUP("industry|PM25|Non-fatal heart attacks", US_national_yearly!$D:$AM, 32, FALSE) / VLOOKUP("industry|PM25|Non-fatal heart attacks", US_national_yearly!$D:$AM, 10, FALSE), 1)</f>
        <v>2.7085240327342727E-3</v>
      </c>
      <c r="Y13" s="7">
        <f>$B13 * IFERROR(VLOOKUP("industry|PM25|Non-fatal heart attacks", US_national_yearly!$D:$AM, 33, FALSE) / VLOOKUP("industry|PM25|Non-fatal heart attacks", US_national_yearly!$D:$AM, 10, FALSE), 1)</f>
        <v>2.7199804958516916E-3</v>
      </c>
      <c r="Z13" s="7">
        <f>$B13 * IFERROR(VLOOKUP("industry|PM25|Non-fatal heart attacks", US_national_yearly!$D:$AM, 34, FALSE) / VLOOKUP("industry|PM25|Non-fatal heart attacks", US_national_yearly!$D:$AM, 10, FALSE), 1)</f>
        <v>2.7314369589691114E-3</v>
      </c>
      <c r="AA13" s="7">
        <f>$B13 * IFERROR(VLOOKUP("industry|PM25|Non-fatal heart attacks", US_national_yearly!$D:$AM, 35, FALSE) / VLOOKUP("industry|PM25|Non-fatal heart attacks", US_national_yearly!$D:$AM, 10, FALSE), 1)</f>
        <v>2.7428934220865308E-3</v>
      </c>
      <c r="AB13" s="7">
        <f>$B13 * IFERROR(VLOOKUP("industry|PM25|Non-fatal heart attacks", US_national_yearly!$D:$AM, 36, FALSE) / VLOOKUP("industry|PM25|Non-fatal heart attacks", US_national_yearly!$D:$AM, 10, FALSE), 1)</f>
        <v>2.7543498852039506E-3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1.6515150085544741</v>
      </c>
      <c r="C14" s="7">
        <f>$B14 * IFERROR(VLOOKUP("industry|PM25|Minor restricted activity days", US_national_yearly!$D:$AM, 11, FALSE) / VLOOKUP("industry|PM25|Minor restricted activity days", US_national_yearly!$D:$AM, 10, FALSE), 1)</f>
        <v>1.6555598425585871</v>
      </c>
      <c r="D14" s="7">
        <f>$B14 * IFERROR(VLOOKUP("industry|PM25|Minor restricted activity days", US_national_yearly!$D:$AM, 12, FALSE) / VLOOKUP("industry|PM25|Minor restricted activity days", US_national_yearly!$D:$AM, 10, FALSE), 1)</f>
        <v>1.6596046765627004</v>
      </c>
      <c r="E14" s="7">
        <f>$B14 * IFERROR(VLOOKUP("industry|PM25|Minor restricted activity days", US_national_yearly!$D:$AM, 13, FALSE) / VLOOKUP("industry|PM25|Minor restricted activity days", US_national_yearly!$D:$AM, 10, FALSE), 1)</f>
        <v>1.6636495105668134</v>
      </c>
      <c r="F14" s="7">
        <f>$B14 * IFERROR(VLOOKUP("industry|PM25|Minor restricted activity days", US_national_yearly!$D:$AM, 14, FALSE) / VLOOKUP("industry|PM25|Minor restricted activity days", US_national_yearly!$D:$AM, 10, FALSE), 1)</f>
        <v>1.6676943445709262</v>
      </c>
      <c r="G14" s="7">
        <f>$B14 * IFERROR(VLOOKUP("industry|PM25|Minor restricted activity days", US_national_yearly!$D:$AM, 15, FALSE) / VLOOKUP("industry|PM25|Minor restricted activity days", US_national_yearly!$D:$AM, 10, FALSE), 1)</f>
        <v>1.6736315034874778</v>
      </c>
      <c r="H14" s="7">
        <f>$B14 * IFERROR(VLOOKUP("industry|PM25|Minor restricted activity days", US_national_yearly!$D:$AM, 16, FALSE) / VLOOKUP("industry|PM25|Minor restricted activity days", US_national_yearly!$D:$AM, 10, FALSE), 1)</f>
        <v>1.6795686624040289</v>
      </c>
      <c r="I14" s="7">
        <f>$B14 * IFERROR(VLOOKUP("industry|PM25|Minor restricted activity days", US_national_yearly!$D:$AM, 17, FALSE) / VLOOKUP("industry|PM25|Minor restricted activity days", US_national_yearly!$D:$AM, 10, FALSE), 1)</f>
        <v>1.6896543687969423</v>
      </c>
      <c r="J14" s="7">
        <f>$B14 * IFERROR(VLOOKUP("industry|PM25|Minor restricted activity days", US_national_yearly!$D:$AM, 18, FALSE) / VLOOKUP("industry|PM25|Minor restricted activity days", US_national_yearly!$D:$AM, 10, FALSE), 1)</f>
        <v>1.6997400751898559</v>
      </c>
      <c r="K14" s="7">
        <f>$B14 * IFERROR(VLOOKUP("industry|PM25|Minor restricted activity days", US_national_yearly!$D:$AM, 19, FALSE) / VLOOKUP("industry|PM25|Minor restricted activity days", US_national_yearly!$D:$AM, 10, FALSE), 1)</f>
        <v>1.7098257815827689</v>
      </c>
      <c r="L14" s="7">
        <f>$B14 * IFERROR(VLOOKUP("industry|PM25|Minor restricted activity days", US_national_yearly!$D:$AM, 20, FALSE) / VLOOKUP("industry|PM25|Minor restricted activity days", US_national_yearly!$D:$AM, 10, FALSE), 1)</f>
        <v>1.7199114879756821</v>
      </c>
      <c r="M14" s="7">
        <f>$B14 * IFERROR(VLOOKUP("industry|PM25|Minor restricted activity days", US_national_yearly!$D:$AM, 21, FALSE) / VLOOKUP("industry|PM25|Minor restricted activity days", US_national_yearly!$D:$AM, 10, FALSE), 1)</f>
        <v>1.7299971943685954</v>
      </c>
      <c r="N14" s="7">
        <f>$B14 * IFERROR(VLOOKUP("industry|PM25|Minor restricted activity days", US_national_yearly!$D:$AM, 22, FALSE) / VLOOKUP("industry|PM25|Minor restricted activity days", US_national_yearly!$D:$AM, 10, FALSE), 1)</f>
        <v>1.7437752651733456</v>
      </c>
      <c r="O14" s="7">
        <f>$B14 * IFERROR(VLOOKUP("industry|PM25|Minor restricted activity days", US_national_yearly!$D:$AM, 23, FALSE) / VLOOKUP("industry|PM25|Minor restricted activity days", US_national_yearly!$D:$AM, 10, FALSE), 1)</f>
        <v>1.7575533359780973</v>
      </c>
      <c r="P14" s="7">
        <f>$B14 * IFERROR(VLOOKUP("industry|PM25|Minor restricted activity days", US_national_yearly!$D:$AM, 24, FALSE) / VLOOKUP("industry|PM25|Minor restricted activity days", US_national_yearly!$D:$AM, 10, FALSE), 1)</f>
        <v>1.7713314067828474</v>
      </c>
      <c r="Q14" s="7">
        <f>$B14 * IFERROR(VLOOKUP("industry|PM25|Minor restricted activity days", US_national_yearly!$D:$AM, 25, FALSE) / VLOOKUP("industry|PM25|Minor restricted activity days", US_national_yearly!$D:$AM, 10, FALSE), 1)</f>
        <v>1.7851094775875993</v>
      </c>
      <c r="R14" s="7">
        <f>$B14 * IFERROR(VLOOKUP("industry|PM25|Minor restricted activity days", US_national_yearly!$D:$AM, 26, FALSE) / VLOOKUP("industry|PM25|Minor restricted activity days", US_national_yearly!$D:$AM, 10, FALSE), 1)</f>
        <v>1.7988875483923497</v>
      </c>
      <c r="S14" s="7">
        <f>$B14 * IFERROR(VLOOKUP("industry|PM25|Minor restricted activity days", US_national_yearly!$D:$AM, 27, FALSE) / VLOOKUP("industry|PM25|Minor restricted activity days", US_national_yearly!$D:$AM, 10, FALSE), 1)</f>
        <v>1.8127978940653879</v>
      </c>
      <c r="T14" s="7">
        <f>$B14 * IFERROR(VLOOKUP("industry|PM25|Minor restricted activity days", US_national_yearly!$D:$AM, 28, FALSE) / VLOOKUP("industry|PM25|Minor restricted activity days", US_national_yearly!$D:$AM, 10, FALSE), 1)</f>
        <v>1.8267082397384267</v>
      </c>
      <c r="U14" s="7">
        <f>$B14 * IFERROR(VLOOKUP("industry|PM25|Minor restricted activity days", US_national_yearly!$D:$AM, 29, FALSE) / VLOOKUP("industry|PM25|Minor restricted activity days", US_national_yearly!$D:$AM, 10, FALSE), 1)</f>
        <v>1.8406185854114649</v>
      </c>
      <c r="V14" s="7">
        <f>$B14 * IFERROR(VLOOKUP("industry|PM25|Minor restricted activity days", US_national_yearly!$D:$AM, 30, FALSE) / VLOOKUP("industry|PM25|Minor restricted activity days", US_national_yearly!$D:$AM, 10, FALSE), 1)</f>
        <v>1.8545289310845035</v>
      </c>
      <c r="W14" s="7">
        <f>$B14 * IFERROR(VLOOKUP("industry|PM25|Minor restricted activity days", US_national_yearly!$D:$AM, 31, FALSE) / VLOOKUP("industry|PM25|Minor restricted activity days", US_national_yearly!$D:$AM, 10, FALSE), 1)</f>
        <v>1.8684392767575422</v>
      </c>
      <c r="X14" s="7">
        <f>$B14 * IFERROR(VLOOKUP("industry|PM25|Minor restricted activity days", US_national_yearly!$D:$AM, 32, FALSE) / VLOOKUP("industry|PM25|Minor restricted activity days", US_national_yearly!$D:$AM, 10, FALSE), 1)</f>
        <v>1.8805268577091119</v>
      </c>
      <c r="Y14" s="7">
        <f>$B14 * IFERROR(VLOOKUP("industry|PM25|Minor restricted activity days", US_national_yearly!$D:$AM, 33, FALSE) / VLOOKUP("industry|PM25|Minor restricted activity days", US_national_yearly!$D:$AM, 10, FALSE), 1)</f>
        <v>1.892614438660682</v>
      </c>
      <c r="Z14" s="7">
        <f>$B14 * IFERROR(VLOOKUP("industry|PM25|Minor restricted activity days", US_national_yearly!$D:$AM, 34, FALSE) / VLOOKUP("industry|PM25|Minor restricted activity days", US_national_yearly!$D:$AM, 10, FALSE), 1)</f>
        <v>1.9047020196122522</v>
      </c>
      <c r="AA14" s="7">
        <f>$B14 * IFERROR(VLOOKUP("industry|PM25|Minor restricted activity days", US_national_yearly!$D:$AM, 35, FALSE) / VLOOKUP("industry|PM25|Minor restricted activity days", US_national_yearly!$D:$AM, 10, FALSE), 1)</f>
        <v>1.9167896005638221</v>
      </c>
      <c r="AB14" s="7">
        <f>$B14 * IFERROR(VLOOKUP("industry|PM25|Minor restricted activity days", US_national_yearly!$D:$AM, 36, FALSE) / VLOOKUP("industry|PM25|Minor restricted activity days", US_national_yearly!$D:$AM, 10, FALSE), 1)</f>
        <v>1.9288771815153922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0.27717156469007559</v>
      </c>
      <c r="C15" s="7">
        <f>$B15 * IFERROR(VLOOKUP("industry|PM25|Work loss days", US_national_yearly!$D:$AM, 11, FALSE) / VLOOKUP("industry|PM25|Work loss days", US_national_yearly!$D:$AM, 10, FALSE), 1)</f>
        <v>0.27803090782486384</v>
      </c>
      <c r="D15" s="7">
        <f>$B15 * IFERROR(VLOOKUP("industry|PM25|Work loss days", US_national_yearly!$D:$AM, 12, FALSE) / VLOOKUP("industry|PM25|Work loss days", US_national_yearly!$D:$AM, 10, FALSE), 1)</f>
        <v>0.27889025095965203</v>
      </c>
      <c r="E15" s="7">
        <f>$B15 * IFERROR(VLOOKUP("industry|PM25|Work loss days", US_national_yearly!$D:$AM, 13, FALSE) / VLOOKUP("industry|PM25|Work loss days", US_national_yearly!$D:$AM, 10, FALSE), 1)</f>
        <v>0.27974959409444022</v>
      </c>
      <c r="F15" s="7">
        <f>$B15 * IFERROR(VLOOKUP("industry|PM25|Work loss days", US_national_yearly!$D:$AM, 14, FALSE) / VLOOKUP("industry|PM25|Work loss days", US_national_yearly!$D:$AM, 10, FALSE), 1)</f>
        <v>0.28060893722922847</v>
      </c>
      <c r="G15" s="7">
        <f>$B15 * IFERROR(VLOOKUP("industry|PM25|Work loss days", US_national_yearly!$D:$AM, 15, FALSE) / VLOOKUP("industry|PM25|Work loss days", US_national_yearly!$D:$AM, 10, FALSE), 1)</f>
        <v>0.28173084731789771</v>
      </c>
      <c r="H15" s="7">
        <f>$B15 * IFERROR(VLOOKUP("industry|PM25|Work loss days", US_national_yearly!$D:$AM, 16, FALSE) / VLOOKUP("industry|PM25|Work loss days", US_national_yearly!$D:$AM, 10, FALSE), 1)</f>
        <v>0.28285275740656701</v>
      </c>
      <c r="I15" s="7">
        <f>$B15 * IFERROR(VLOOKUP("industry|PM25|Work loss days", US_national_yearly!$D:$AM, 17, FALSE) / VLOOKUP("industry|PM25|Work loss days", US_national_yearly!$D:$AM, 10, FALSE), 1)</f>
        <v>0.28449559083976622</v>
      </c>
      <c r="J15" s="7">
        <f>$B15 * IFERROR(VLOOKUP("industry|PM25|Work loss days", US_national_yearly!$D:$AM, 18, FALSE) / VLOOKUP("industry|PM25|Work loss days", US_national_yearly!$D:$AM, 10, FALSE), 1)</f>
        <v>0.28613842427296543</v>
      </c>
      <c r="K15" s="7">
        <f>$B15 * IFERROR(VLOOKUP("industry|PM25|Work loss days", US_national_yearly!$D:$AM, 19, FALSE) / VLOOKUP("industry|PM25|Work loss days", US_national_yearly!$D:$AM, 10, FALSE), 1)</f>
        <v>0.28778125770616453</v>
      </c>
      <c r="L15" s="7">
        <f>$B15 * IFERROR(VLOOKUP("industry|PM25|Work loss days", US_national_yearly!$D:$AM, 20, FALSE) / VLOOKUP("industry|PM25|Work loss days", US_national_yearly!$D:$AM, 10, FALSE), 1)</f>
        <v>0.28942409113936374</v>
      </c>
      <c r="M15" s="7">
        <f>$B15 * IFERROR(VLOOKUP("industry|PM25|Work loss days", US_national_yearly!$D:$AM, 21, FALSE) / VLOOKUP("industry|PM25|Work loss days", US_national_yearly!$D:$AM, 10, FALSE), 1)</f>
        <v>0.29106692457256295</v>
      </c>
      <c r="N15" s="7">
        <f>$B15 * IFERROR(VLOOKUP("industry|PM25|Work loss days", US_national_yearly!$D:$AM, 22, FALSE) / VLOOKUP("industry|PM25|Work loss days", US_national_yearly!$D:$AM, 10, FALSE), 1)</f>
        <v>0.2931399647304167</v>
      </c>
      <c r="O15" s="7">
        <f>$B15 * IFERROR(VLOOKUP("industry|PM25|Work loss days", US_national_yearly!$D:$AM, 23, FALSE) / VLOOKUP("industry|PM25|Work loss days", US_national_yearly!$D:$AM, 10, FALSE), 1)</f>
        <v>0.2952130048882704</v>
      </c>
      <c r="P15" s="7">
        <f>$B15 * IFERROR(VLOOKUP("industry|PM25|Work loss days", US_national_yearly!$D:$AM, 24, FALSE) / VLOOKUP("industry|PM25|Work loss days", US_national_yearly!$D:$AM, 10, FALSE), 1)</f>
        <v>0.2972860450461241</v>
      </c>
      <c r="Q15" s="7">
        <f>$B15 * IFERROR(VLOOKUP("industry|PM25|Work loss days", US_national_yearly!$D:$AM, 25, FALSE) / VLOOKUP("industry|PM25|Work loss days", US_national_yearly!$D:$AM, 10, FALSE), 1)</f>
        <v>0.2993590852039778</v>
      </c>
      <c r="R15" s="7">
        <f>$B15 * IFERROR(VLOOKUP("industry|PM25|Work loss days", US_national_yearly!$D:$AM, 26, FALSE) / VLOOKUP("industry|PM25|Work loss days", US_national_yearly!$D:$AM, 10, FALSE), 1)</f>
        <v>0.3014321253618315</v>
      </c>
      <c r="S15" s="7">
        <f>$B15 * IFERROR(VLOOKUP("industry|PM25|Work loss days", US_national_yearly!$D:$AM, 27, FALSE) / VLOOKUP("industry|PM25|Work loss days", US_national_yearly!$D:$AM, 10, FALSE), 1)</f>
        <v>0.30373083300514853</v>
      </c>
      <c r="T15" s="7">
        <f>$B15 * IFERROR(VLOOKUP("industry|PM25|Work loss days", US_national_yearly!$D:$AM, 28, FALSE) / VLOOKUP("industry|PM25|Work loss days", US_national_yearly!$D:$AM, 10, FALSE), 1)</f>
        <v>0.30602954064846549</v>
      </c>
      <c r="U15" s="7">
        <f>$B15 * IFERROR(VLOOKUP("industry|PM25|Work loss days", US_national_yearly!$D:$AM, 29, FALSE) / VLOOKUP("industry|PM25|Work loss days", US_national_yearly!$D:$AM, 10, FALSE), 1)</f>
        <v>0.30832824829178251</v>
      </c>
      <c r="V15" s="7">
        <f>$B15 * IFERROR(VLOOKUP("industry|PM25|Work loss days", US_national_yearly!$D:$AM, 30, FALSE) / VLOOKUP("industry|PM25|Work loss days", US_national_yearly!$D:$AM, 10, FALSE), 1)</f>
        <v>0.31062695593509948</v>
      </c>
      <c r="W15" s="7">
        <f>$B15 * IFERROR(VLOOKUP("industry|PM25|Work loss days", US_national_yearly!$D:$AM, 31, FALSE) / VLOOKUP("industry|PM25|Work loss days", US_national_yearly!$D:$AM, 10, FALSE), 1)</f>
        <v>0.3129256635784165</v>
      </c>
      <c r="X15" s="7">
        <f>$B15 * IFERROR(VLOOKUP("industry|PM25|Work loss days", US_national_yearly!$D:$AM, 32, FALSE) / VLOOKUP("industry|PM25|Work loss days", US_national_yearly!$D:$AM, 10, FALSE), 1)</f>
        <v>0.31496836757666041</v>
      </c>
      <c r="Y15" s="7">
        <f>$B15 * IFERROR(VLOOKUP("industry|PM25|Work loss days", US_national_yearly!$D:$AM, 33, FALSE) / VLOOKUP("industry|PM25|Work loss days", US_national_yearly!$D:$AM, 10, FALSE), 1)</f>
        <v>0.31701107157490443</v>
      </c>
      <c r="Z15" s="7">
        <f>$B15 * IFERROR(VLOOKUP("industry|PM25|Work loss days", US_national_yearly!$D:$AM, 34, FALSE) / VLOOKUP("industry|PM25|Work loss days", US_national_yearly!$D:$AM, 10, FALSE), 1)</f>
        <v>0.3190537755731484</v>
      </c>
      <c r="AA15" s="7">
        <f>$B15 * IFERROR(VLOOKUP("industry|PM25|Work loss days", US_national_yearly!$D:$AM, 35, FALSE) / VLOOKUP("industry|PM25|Work loss days", US_national_yearly!$D:$AM, 10, FALSE), 1)</f>
        <v>0.32109647957139231</v>
      </c>
      <c r="AB15" s="7">
        <f>$B15 * IFERROR(VLOOKUP("industry|PM25|Work loss days", US_national_yearly!$D:$AM, 36, FALSE) / VLOOKUP("industry|PM25|Work loss days", US_national_yearly!$D:$AM, 10, FALSE), 1)</f>
        <v>0.32313918356963628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4.3337145188990299E-4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4.4633386985925601E-4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4.5929628782860903E-4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4.7225870579796204E-4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4.8522112376731495E-4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4.9764466707652357E-4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5.1006821038573197E-4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5.2073491104624118E-4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5.3140161170675017E-4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5.4206831236725938E-4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5.5273501302776848E-4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5.6340171368827758E-4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5.7052710994453582E-4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5.7765250620079385E-4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5.8477790245705199E-4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5.9190329871331012E-4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5.9902869496956826E-4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6.028463094889607E-4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6.0666392400835325E-4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6.1048153852774579E-4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6.1429915304713823E-4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6.1811676756653078E-4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6.2073830267327286E-4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6.2335983778001483E-4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6.259813728867568E-4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6.2860290799349877E-4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6.3122444310024085E-4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3.8218885166438308E-5</v>
      </c>
      <c r="C2" s="7">
        <f>$B2 * IFERROR(VLOOKUP("industry|NOx|Premature mortality", US_national_yearly!$D:$AM, 11, FALSE) / VLOOKUP("industry|NOx|Premature mortality", US_national_yearly!$D:$AM, 10, FALSE), 1)</f>
        <v>3.8784017789759676E-5</v>
      </c>
      <c r="D2" s="7">
        <f>$B2 * IFERROR(VLOOKUP("industry|NOx|Premature mortality", US_national_yearly!$D:$AM, 12, FALSE) / VLOOKUP("industry|NOx|Premature mortality", US_national_yearly!$D:$AM, 10, FALSE), 1)</f>
        <v>3.9349150413081051E-5</v>
      </c>
      <c r="E2" s="7">
        <f>$B2 * IFERROR(VLOOKUP("industry|NOx|Premature mortality", US_national_yearly!$D:$AM, 13, FALSE) / VLOOKUP("industry|NOx|Premature mortality", US_national_yearly!$D:$AM, 10, FALSE), 1)</f>
        <v>3.9914283036402418E-5</v>
      </c>
      <c r="F2" s="7">
        <f>$B2 * IFERROR(VLOOKUP("industry|NOx|Premature mortality", US_national_yearly!$D:$AM, 14, FALSE) / VLOOKUP("industry|NOx|Premature mortality", US_national_yearly!$D:$AM, 10, FALSE), 1)</f>
        <v>4.0479415659723793E-5</v>
      </c>
      <c r="G2" s="7">
        <f>$B2 * IFERROR(VLOOKUP("industry|NOx|Premature mortality", US_national_yearly!$D:$AM, 15, FALSE) / VLOOKUP("industry|NOx|Premature mortality", US_national_yearly!$D:$AM, 10, FALSE), 1)</f>
        <v>4.1492910085611495E-5</v>
      </c>
      <c r="H2" s="7">
        <f>$B2 * IFERROR(VLOOKUP("industry|NOx|Premature mortality", US_national_yearly!$D:$AM, 16, FALSE) / VLOOKUP("industry|NOx|Premature mortality", US_national_yearly!$D:$AM, 10, FALSE), 1)</f>
        <v>4.2506404511499203E-5</v>
      </c>
      <c r="I2" s="7">
        <f>$B2 * IFERROR(VLOOKUP("industry|NOx|Premature mortality", US_national_yearly!$D:$AM, 17, FALSE) / VLOOKUP("industry|NOx|Premature mortality", US_national_yearly!$D:$AM, 10, FALSE), 1)</f>
        <v>4.3163892448117258E-5</v>
      </c>
      <c r="J2" s="7">
        <f>$B2 * IFERROR(VLOOKUP("industry|NOx|Premature mortality", US_national_yearly!$D:$AM, 18, FALSE) / VLOOKUP("industry|NOx|Premature mortality", US_national_yearly!$D:$AM, 10, FALSE), 1)</f>
        <v>4.3821380384735313E-5</v>
      </c>
      <c r="K2" s="7">
        <f>$B2 * IFERROR(VLOOKUP("industry|NOx|Premature mortality", US_national_yearly!$D:$AM, 19, FALSE) / VLOOKUP("industry|NOx|Premature mortality", US_national_yearly!$D:$AM, 10, FALSE), 1)</f>
        <v>4.4478868321353375E-5</v>
      </c>
      <c r="L2" s="7">
        <f>$B2 * IFERROR(VLOOKUP("industry|NOx|Premature mortality", US_national_yearly!$D:$AM, 20, FALSE) / VLOOKUP("industry|NOx|Premature mortality", US_national_yearly!$D:$AM, 10, FALSE), 1)</f>
        <v>4.5136356257971429E-5</v>
      </c>
      <c r="M2" s="7">
        <f>$B2 * IFERROR(VLOOKUP("industry|NOx|Premature mortality", US_national_yearly!$D:$AM, 21, FALSE) / VLOOKUP("industry|NOx|Premature mortality", US_national_yearly!$D:$AM, 10, FALSE), 1)</f>
        <v>4.5793844194589484E-5</v>
      </c>
      <c r="N2" s="7">
        <f>$B2 * IFERROR(VLOOKUP("industry|NOx|Premature mortality", US_national_yearly!$D:$AM, 22, FALSE) / VLOOKUP("industry|NOx|Premature mortality", US_national_yearly!$D:$AM, 10, FALSE), 1)</f>
        <v>4.6283101015328044E-5</v>
      </c>
      <c r="O2" s="7">
        <f>$B2 * IFERROR(VLOOKUP("industry|NOx|Premature mortality", US_national_yearly!$D:$AM, 23, FALSE) / VLOOKUP("industry|NOx|Premature mortality", US_national_yearly!$D:$AM, 10, FALSE), 1)</f>
        <v>4.6772357836066597E-5</v>
      </c>
      <c r="P2" s="7">
        <f>$B2 * IFERROR(VLOOKUP("industry|NOx|Premature mortality", US_national_yearly!$D:$AM, 24, FALSE) / VLOOKUP("industry|NOx|Premature mortality", US_national_yearly!$D:$AM, 10, FALSE), 1)</f>
        <v>4.7261614656805143E-5</v>
      </c>
      <c r="Q2" s="7">
        <f>$B2 * IFERROR(VLOOKUP("industry|NOx|Premature mortality", US_national_yearly!$D:$AM, 25, FALSE) / VLOOKUP("industry|NOx|Premature mortality", US_national_yearly!$D:$AM, 10, FALSE), 1)</f>
        <v>4.7750871477543695E-5</v>
      </c>
      <c r="R2" s="7">
        <f>$B2 * IFERROR(VLOOKUP("industry|NOx|Premature mortality", US_national_yearly!$D:$AM, 26, FALSE) / VLOOKUP("industry|NOx|Premature mortality", US_national_yearly!$D:$AM, 10, FALSE), 1)</f>
        <v>4.8240128298282248E-5</v>
      </c>
      <c r="S2" s="7">
        <f>$B2 * IFERROR(VLOOKUP("industry|NOx|Premature mortality", US_national_yearly!$D:$AM, 27, FALSE) / VLOOKUP("industry|NOx|Premature mortality", US_national_yearly!$D:$AM, 10, FALSE), 1)</f>
        <v>4.8467955812635889E-5</v>
      </c>
      <c r="T2" s="7">
        <f>$B2 * IFERROR(VLOOKUP("industry|NOx|Premature mortality", US_national_yearly!$D:$AM, 28, FALSE) / VLOOKUP("industry|NOx|Premature mortality", US_national_yearly!$D:$AM, 10, FALSE), 1)</f>
        <v>4.869578332698953E-5</v>
      </c>
      <c r="U2" s="7">
        <f>$B2 * IFERROR(VLOOKUP("industry|NOx|Premature mortality", US_national_yearly!$D:$AM, 29, FALSE) / VLOOKUP("industry|NOx|Premature mortality", US_national_yearly!$D:$AM, 10, FALSE), 1)</f>
        <v>4.892361084134317E-5</v>
      </c>
      <c r="V2" s="7">
        <f>$B2 * IFERROR(VLOOKUP("industry|NOx|Premature mortality", US_national_yearly!$D:$AM, 30, FALSE) / VLOOKUP("industry|NOx|Premature mortality", US_national_yearly!$D:$AM, 10, FALSE), 1)</f>
        <v>4.9151438355696811E-5</v>
      </c>
      <c r="W2" s="7">
        <f>$B2 * IFERROR(VLOOKUP("industry|NOx|Premature mortality", US_national_yearly!$D:$AM, 31, FALSE) / VLOOKUP("industry|NOx|Premature mortality", US_national_yearly!$D:$AM, 10, FALSE), 1)</f>
        <v>4.9379265870050445E-5</v>
      </c>
      <c r="X2" s="7">
        <f>$B2 * IFERROR(VLOOKUP("industry|NOx|Premature mortality", US_national_yearly!$D:$AM, 32, FALSE) / VLOOKUP("industry|NOx|Premature mortality", US_national_yearly!$D:$AM, 10, FALSE), 1)</f>
        <v>4.9396677177329896E-5</v>
      </c>
      <c r="Y2" s="7">
        <f>$B2 * IFERROR(VLOOKUP("industry|NOx|Premature mortality", US_national_yearly!$D:$AM, 33, FALSE) / VLOOKUP("industry|NOx|Premature mortality", US_national_yearly!$D:$AM, 10, FALSE), 1)</f>
        <v>4.9414088484609347E-5</v>
      </c>
      <c r="Z2" s="7">
        <f>$B2 * IFERROR(VLOOKUP("industry|NOx|Premature mortality", US_national_yearly!$D:$AM, 34, FALSE) / VLOOKUP("industry|NOx|Premature mortality", US_national_yearly!$D:$AM, 10, FALSE), 1)</f>
        <v>4.9431499791888798E-5</v>
      </c>
      <c r="AA2" s="7">
        <f>$B2 * IFERROR(VLOOKUP("industry|NOx|Premature mortality", US_national_yearly!$D:$AM, 35, FALSE) / VLOOKUP("industry|NOx|Premature mortality", US_national_yearly!$D:$AM, 10, FALSE), 1)</f>
        <v>4.9448911099168249E-5</v>
      </c>
      <c r="AB2" s="7">
        <f>$B2 * IFERROR(VLOOKUP("industry|NOx|Premature mortality", US_national_yearly!$D:$AM, 36, FALSE) / VLOOKUP("industry|NOx|Premature mortality", US_national_yearly!$D:$AM, 10, FALSE), 1)</f>
        <v>4.94663224064477E-5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5.086112065590746E-8</v>
      </c>
      <c r="C3" s="7">
        <f>$B3 * IFERROR(VLOOKUP("industry|NOx|Infant mortality", US_national_yearly!$D:$AM, 11, FALSE) / VLOOKUP("industry|NOx|Infant mortality", US_national_yearly!$D:$AM, 10, FALSE), 1)</f>
        <v>5.0374032226801967E-8</v>
      </c>
      <c r="D3" s="7">
        <f>$B3 * IFERROR(VLOOKUP("industry|NOx|Infant mortality", US_national_yearly!$D:$AM, 12, FALSE) / VLOOKUP("industry|NOx|Infant mortality", US_national_yearly!$D:$AM, 10, FALSE), 1)</f>
        <v>4.9886943797696468E-8</v>
      </c>
      <c r="E3" s="7">
        <f>$B3 * IFERROR(VLOOKUP("industry|NOx|Infant mortality", US_national_yearly!$D:$AM, 13, FALSE) / VLOOKUP("industry|NOx|Infant mortality", US_national_yearly!$D:$AM, 10, FALSE), 1)</f>
        <v>4.9399855368590969E-8</v>
      </c>
      <c r="F3" s="7">
        <f>$B3 * IFERROR(VLOOKUP("industry|NOx|Infant mortality", US_national_yearly!$D:$AM, 14, FALSE) / VLOOKUP("industry|NOx|Infant mortality", US_national_yearly!$D:$AM, 10, FALSE), 1)</f>
        <v>4.8912766939485469E-8</v>
      </c>
      <c r="G3" s="7">
        <f>$B3 * IFERROR(VLOOKUP("industry|NOx|Infant mortality", US_national_yearly!$D:$AM, 15, FALSE) / VLOOKUP("industry|NOx|Infant mortality", US_national_yearly!$D:$AM, 10, FALSE), 1)</f>
        <v>3.2443262881439233E-8</v>
      </c>
      <c r="H3" s="7">
        <f>$B3 * IFERROR(VLOOKUP("industry|NOx|Infant mortality", US_national_yearly!$D:$AM, 16, FALSE) / VLOOKUP("industry|NOx|Infant mortality", US_national_yearly!$D:$AM, 10, FALSE), 1)</f>
        <v>1.5973758823392992E-8</v>
      </c>
      <c r="I3" s="7">
        <f>$B3 * IFERROR(VLOOKUP("industry|NOx|Infant mortality", US_national_yearly!$D:$AM, 17, FALSE) / VLOOKUP("industry|NOx|Infant mortality", US_national_yearly!$D:$AM, 10, FALSE), 1)</f>
        <v>1.5858594919155023E-8</v>
      </c>
      <c r="J3" s="7">
        <f>$B3 * IFERROR(VLOOKUP("industry|NOx|Infant mortality", US_national_yearly!$D:$AM, 18, FALSE) / VLOOKUP("industry|NOx|Infant mortality", US_national_yearly!$D:$AM, 10, FALSE), 1)</f>
        <v>1.5743431014917057E-8</v>
      </c>
      <c r="K3" s="7">
        <f>$B3 * IFERROR(VLOOKUP("industry|NOx|Infant mortality", US_national_yearly!$D:$AM, 19, FALSE) / VLOOKUP("industry|NOx|Infant mortality", US_national_yearly!$D:$AM, 10, FALSE), 1)</f>
        <v>1.5628267110679087E-8</v>
      </c>
      <c r="L3" s="7">
        <f>$B3 * IFERROR(VLOOKUP("industry|NOx|Infant mortality", US_national_yearly!$D:$AM, 20, FALSE) / VLOOKUP("industry|NOx|Infant mortality", US_national_yearly!$D:$AM, 10, FALSE), 1)</f>
        <v>1.5513103206441114E-8</v>
      </c>
      <c r="M3" s="7">
        <f>$B3 * IFERROR(VLOOKUP("industry|NOx|Infant mortality", US_national_yearly!$D:$AM, 21, FALSE) / VLOOKUP("industry|NOx|Infant mortality", US_national_yearly!$D:$AM, 10, FALSE), 1)</f>
        <v>1.5397939302203145E-8</v>
      </c>
      <c r="N3" s="7">
        <f>$B3 * IFERROR(VLOOKUP("industry|NOx|Infant mortality", US_national_yearly!$D:$AM, 22, FALSE) / VLOOKUP("industry|NOx|Infant mortality", US_national_yearly!$D:$AM, 10, FALSE), 1)</f>
        <v>1.5320347058221407E-8</v>
      </c>
      <c r="O3" s="7">
        <f>$B3 * IFERROR(VLOOKUP("industry|NOx|Infant mortality", US_national_yearly!$D:$AM, 23, FALSE) / VLOOKUP("industry|NOx|Infant mortality", US_national_yearly!$D:$AM, 10, FALSE), 1)</f>
        <v>1.524275481423967E-8</v>
      </c>
      <c r="P3" s="7">
        <f>$B3 * IFERROR(VLOOKUP("industry|NOx|Infant mortality", US_national_yearly!$D:$AM, 24, FALSE) / VLOOKUP("industry|NOx|Infant mortality", US_national_yearly!$D:$AM, 10, FALSE), 1)</f>
        <v>1.5165162570257933E-8</v>
      </c>
      <c r="Q3" s="7">
        <f>$B3 * IFERROR(VLOOKUP("industry|NOx|Infant mortality", US_national_yearly!$D:$AM, 25, FALSE) / VLOOKUP("industry|NOx|Infant mortality", US_national_yearly!$D:$AM, 10, FALSE), 1)</f>
        <v>1.5087570326276199E-8</v>
      </c>
      <c r="R3" s="7">
        <f>$B3 * IFERROR(VLOOKUP("industry|NOx|Infant mortality", US_national_yearly!$D:$AM, 26, FALSE) / VLOOKUP("industry|NOx|Infant mortality", US_national_yearly!$D:$AM, 10, FALSE), 1)</f>
        <v>1.5009978082294462E-8</v>
      </c>
      <c r="S3" s="7">
        <f>$B3 * IFERROR(VLOOKUP("industry|NOx|Infant mortality", US_national_yearly!$D:$AM, 27, FALSE) / VLOOKUP("industry|NOx|Infant mortality", US_national_yearly!$D:$AM, 10, FALSE), 1)</f>
        <v>1.4917838679766158E-8</v>
      </c>
      <c r="T3" s="7">
        <f>$B3 * IFERROR(VLOOKUP("industry|NOx|Infant mortality", US_national_yearly!$D:$AM, 28, FALSE) / VLOOKUP("industry|NOx|Infant mortality", US_national_yearly!$D:$AM, 10, FALSE), 1)</f>
        <v>1.4825699277237851E-8</v>
      </c>
      <c r="U3" s="7">
        <f>$B3 * IFERROR(VLOOKUP("industry|NOx|Infant mortality", US_national_yearly!$D:$AM, 29, FALSE) / VLOOKUP("industry|NOx|Infant mortality", US_national_yearly!$D:$AM, 10, FALSE), 1)</f>
        <v>1.4733559874709543E-8</v>
      </c>
      <c r="V3" s="7">
        <f>$B3 * IFERROR(VLOOKUP("industry|NOx|Infant mortality", US_national_yearly!$D:$AM, 30, FALSE) / VLOOKUP("industry|NOx|Infant mortality", US_national_yearly!$D:$AM, 10, FALSE), 1)</f>
        <v>1.4641420472181236E-8</v>
      </c>
      <c r="W3" s="7">
        <f>$B3 * IFERROR(VLOOKUP("industry|NOx|Infant mortality", US_national_yearly!$D:$AM, 31, FALSE) / VLOOKUP("industry|NOx|Infant mortality", US_national_yearly!$D:$AM, 10, FALSE), 1)</f>
        <v>1.4549281069652932E-8</v>
      </c>
      <c r="X3" s="7">
        <f>$B3 * IFERROR(VLOOKUP("industry|NOx|Infant mortality", US_national_yearly!$D:$AM, 32, FALSE) / VLOOKUP("industry|NOx|Infant mortality", US_national_yearly!$D:$AM, 10, FALSE), 1)</f>
        <v>1.4452524494579872E-8</v>
      </c>
      <c r="Y3" s="7">
        <f>$B3 * IFERROR(VLOOKUP("industry|NOx|Infant mortality", US_national_yearly!$D:$AM, 33, FALSE) / VLOOKUP("industry|NOx|Infant mortality", US_national_yearly!$D:$AM, 10, FALSE), 1)</f>
        <v>1.4355767919506815E-8</v>
      </c>
      <c r="Z3" s="7">
        <f>$B3 * IFERROR(VLOOKUP("industry|NOx|Infant mortality", US_national_yearly!$D:$AM, 34, FALSE) / VLOOKUP("industry|NOx|Infant mortality", US_national_yearly!$D:$AM, 10, FALSE), 1)</f>
        <v>1.4259011344433758E-8</v>
      </c>
      <c r="AA3" s="7">
        <f>$B3 * IFERROR(VLOOKUP("industry|NOx|Infant mortality", US_national_yearly!$D:$AM, 35, FALSE) / VLOOKUP("industry|NOx|Infant mortality", US_national_yearly!$D:$AM, 10, FALSE), 1)</f>
        <v>1.4162254769360701E-8</v>
      </c>
      <c r="AB3" s="7">
        <f>$B3 * IFERROR(VLOOKUP("industry|NOx|Infant mortality", US_national_yearly!$D:$AM, 36, FALSE) / VLOOKUP("industry|NOx|Infant mortality", US_national_yearly!$D:$AM, 10, FALSE), 1)</f>
        <v>1.4065498194287643E-8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7.8597578252371015E-5</v>
      </c>
      <c r="C6" s="7">
        <f>$B6 * IFERROR(VLOOKUP("industry|NOx|Asthma symptoms cough", US_national_yearly!$D:$AM, 11, FALSE) / VLOOKUP("industry|NOx|Asthma symptoms cough", US_national_yearly!$D:$AM, 10, FALSE), 1)</f>
        <v>7.9672819792439247E-5</v>
      </c>
      <c r="D6" s="7">
        <f>$B6 * IFERROR(VLOOKUP("industry|NOx|Asthma symptoms cough", US_national_yearly!$D:$AM, 12, FALSE) / VLOOKUP("industry|NOx|Asthma symptoms cough", US_national_yearly!$D:$AM, 10, FALSE), 1)</f>
        <v>8.0748061332507493E-5</v>
      </c>
      <c r="E6" s="7">
        <f>$B6 * IFERROR(VLOOKUP("industry|NOx|Asthma symptoms cough", US_national_yearly!$D:$AM, 13, FALSE) / VLOOKUP("industry|NOx|Asthma symptoms cough", US_national_yearly!$D:$AM, 10, FALSE), 1)</f>
        <v>8.1823302872575726E-5</v>
      </c>
      <c r="F6" s="7">
        <f>$B6 * IFERROR(VLOOKUP("industry|NOx|Asthma symptoms cough", US_national_yearly!$D:$AM, 14, FALSE) / VLOOKUP("industry|NOx|Asthma symptoms cough", US_national_yearly!$D:$AM, 10, FALSE), 1)</f>
        <v>8.2898544412643958E-5</v>
      </c>
      <c r="G6" s="7">
        <f>$B6 * IFERROR(VLOOKUP("industry|NOx|Asthma symptoms cough", US_national_yearly!$D:$AM, 15, FALSE) / VLOOKUP("industry|NOx|Asthma symptoms cough", US_national_yearly!$D:$AM, 10, FALSE), 1)</f>
        <v>8.3760721317549525E-5</v>
      </c>
      <c r="H6" s="7">
        <f>$B6 * IFERROR(VLOOKUP("industry|NOx|Asthma symptoms cough", US_national_yearly!$D:$AM, 16, FALSE) / VLOOKUP("industry|NOx|Asthma symptoms cough", US_national_yearly!$D:$AM, 10, FALSE), 1)</f>
        <v>8.4622898222455105E-5</v>
      </c>
      <c r="I6" s="7">
        <f>$B6 * IFERROR(VLOOKUP("industry|NOx|Asthma symptoms cough", US_national_yearly!$D:$AM, 17, FALSE) / VLOOKUP("industry|NOx|Asthma symptoms cough", US_national_yearly!$D:$AM, 10, FALSE), 1)</f>
        <v>8.4922943428618171E-5</v>
      </c>
      <c r="J6" s="7">
        <f>$B6 * IFERROR(VLOOKUP("industry|NOx|Asthma symptoms cough", US_national_yearly!$D:$AM, 18, FALSE) / VLOOKUP("industry|NOx|Asthma symptoms cough", US_national_yearly!$D:$AM, 10, FALSE), 1)</f>
        <v>8.5222988634781264E-5</v>
      </c>
      <c r="K6" s="7">
        <f>$B6 * IFERROR(VLOOKUP("industry|NOx|Asthma symptoms cough", US_national_yearly!$D:$AM, 19, FALSE) / VLOOKUP("industry|NOx|Asthma symptoms cough", US_national_yearly!$D:$AM, 10, FALSE), 1)</f>
        <v>8.552303384094433E-5</v>
      </c>
      <c r="L6" s="7">
        <f>$B6 * IFERROR(VLOOKUP("industry|NOx|Asthma symptoms cough", US_national_yearly!$D:$AM, 20, FALSE) / VLOOKUP("industry|NOx|Asthma symptoms cough", US_national_yearly!$D:$AM, 10, FALSE), 1)</f>
        <v>8.582307904710741E-5</v>
      </c>
      <c r="M6" s="7">
        <f>$B6 * IFERROR(VLOOKUP("industry|NOx|Asthma symptoms cough", US_national_yearly!$D:$AM, 21, FALSE) / VLOOKUP("industry|NOx|Asthma symptoms cough", US_national_yearly!$D:$AM, 10, FALSE), 1)</f>
        <v>8.6123124253270503E-5</v>
      </c>
      <c r="N6" s="7">
        <f>$B6 * IFERROR(VLOOKUP("industry|NOx|Asthma symptoms cough", US_national_yearly!$D:$AM, 22, FALSE) / VLOOKUP("industry|NOx|Asthma symptoms cough", US_national_yearly!$D:$AM, 10, FALSE), 1)</f>
        <v>8.6465634046941557E-5</v>
      </c>
      <c r="O6" s="7">
        <f>$B6 * IFERROR(VLOOKUP("industry|NOx|Asthma symptoms cough", US_national_yearly!$D:$AM, 23, FALSE) / VLOOKUP("industry|NOx|Asthma symptoms cough", US_national_yearly!$D:$AM, 10, FALSE), 1)</f>
        <v>8.6808143840612611E-5</v>
      </c>
      <c r="P6" s="7">
        <f>$B6 * IFERROR(VLOOKUP("industry|NOx|Asthma symptoms cough", US_national_yearly!$D:$AM, 24, FALSE) / VLOOKUP("industry|NOx|Asthma symptoms cough", US_national_yearly!$D:$AM, 10, FALSE), 1)</f>
        <v>8.7150653634283679E-5</v>
      </c>
      <c r="Q6" s="7">
        <f>$B6 * IFERROR(VLOOKUP("industry|NOx|Asthma symptoms cough", US_national_yearly!$D:$AM, 25, FALSE) / VLOOKUP("industry|NOx|Asthma symptoms cough", US_national_yearly!$D:$AM, 10, FALSE), 1)</f>
        <v>8.7493163427954747E-5</v>
      </c>
      <c r="R6" s="7">
        <f>$B6 * IFERROR(VLOOKUP("industry|NOx|Asthma symptoms cough", US_national_yearly!$D:$AM, 26, FALSE) / VLOOKUP("industry|NOx|Asthma symptoms cough", US_national_yearly!$D:$AM, 10, FALSE), 1)</f>
        <v>8.7835673221625801E-5</v>
      </c>
      <c r="S6" s="7">
        <f>$B6 * IFERROR(VLOOKUP("industry|NOx|Asthma symptoms cough", US_national_yearly!$D:$AM, 27, FALSE) / VLOOKUP("industry|NOx|Asthma symptoms cough", US_national_yearly!$D:$AM, 10, FALSE), 1)</f>
        <v>8.8277495700769882E-5</v>
      </c>
      <c r="T6" s="7">
        <f>$B6 * IFERROR(VLOOKUP("industry|NOx|Asthma symptoms cough", US_national_yearly!$D:$AM, 28, FALSE) / VLOOKUP("industry|NOx|Asthma symptoms cough", US_national_yearly!$D:$AM, 10, FALSE), 1)</f>
        <v>8.8719318179913964E-5</v>
      </c>
      <c r="U6" s="7">
        <f>$B6 * IFERROR(VLOOKUP("industry|NOx|Asthma symptoms cough", US_national_yearly!$D:$AM, 29, FALSE) / VLOOKUP("industry|NOx|Asthma symptoms cough", US_national_yearly!$D:$AM, 10, FALSE), 1)</f>
        <v>8.9161140659058046E-5</v>
      </c>
      <c r="V6" s="7">
        <f>$B6 * IFERROR(VLOOKUP("industry|NOx|Asthma symptoms cough", US_national_yearly!$D:$AM, 30, FALSE) / VLOOKUP("industry|NOx|Asthma symptoms cough", US_national_yearly!$D:$AM, 10, FALSE), 1)</f>
        <v>8.96029631382021E-5</v>
      </c>
      <c r="W6" s="7">
        <f>$B6 * IFERROR(VLOOKUP("industry|NOx|Asthma symptoms cough", US_national_yearly!$D:$AM, 31, FALSE) / VLOOKUP("industry|NOx|Asthma symptoms cough", US_national_yearly!$D:$AM, 10, FALSE), 1)</f>
        <v>9.0044785617346195E-5</v>
      </c>
      <c r="X6" s="7">
        <f>$B6 * IFERROR(VLOOKUP("industry|NOx|Asthma symptoms cough", US_national_yearly!$D:$AM, 32, FALSE) / VLOOKUP("industry|NOx|Asthma symptoms cough", US_national_yearly!$D:$AM, 10, FALSE), 1)</f>
        <v>9.0454389031050577E-5</v>
      </c>
      <c r="Y6" s="7">
        <f>$B6 * IFERROR(VLOOKUP("industry|NOx|Asthma symptoms cough", US_national_yearly!$D:$AM, 33, FALSE) / VLOOKUP("industry|NOx|Asthma symptoms cough", US_national_yearly!$D:$AM, 10, FALSE), 1)</f>
        <v>9.0863992444754945E-5</v>
      </c>
      <c r="Z6" s="7">
        <f>$B6 * IFERROR(VLOOKUP("industry|NOx|Asthma symptoms cough", US_national_yearly!$D:$AM, 34, FALSE) / VLOOKUP("industry|NOx|Asthma symptoms cough", US_national_yearly!$D:$AM, 10, FALSE), 1)</f>
        <v>9.1273595858459313E-5</v>
      </c>
      <c r="AA6" s="7">
        <f>$B6 * IFERROR(VLOOKUP("industry|NOx|Asthma symptoms cough", US_national_yearly!$D:$AM, 35, FALSE) / VLOOKUP("industry|NOx|Asthma symptoms cough", US_national_yearly!$D:$AM, 10, FALSE), 1)</f>
        <v>9.1683199272163681E-5</v>
      </c>
      <c r="AB6" s="7">
        <f>$B6 * IFERROR(VLOOKUP("industry|NOx|Asthma symptoms cough", US_national_yearly!$D:$AM, 36, FALSE) / VLOOKUP("industry|NOx|Asthma symptoms cough", US_national_yearly!$D:$AM, 10, FALSE), 1)</f>
        <v>9.2092802685868062E-5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1.0584316953981111E-4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1.0729114001054253E-4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1.0873911048127397E-4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1.1018708095200539E-4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1.1163505142273683E-4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1.1279609910398513E-4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1.1395714678523346E-4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1.1436120166724524E-4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1.1476525654925701E-4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1.1516931143126878E-4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1.155733663132806E-4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1.1597742119529238E-4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1.1643866087455178E-4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1.1689990055381118E-4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1.1736114023307062E-4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1.1782237991233004E-4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1.1828361959158944E-4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1.1887859837227534E-4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1.1947357715296125E-4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1.2006855593364714E-4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1.2066353471433305E-4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1.2125851349501892E-4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1.2181010457710066E-4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1.2236169565918236E-4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1.2291328674126408E-4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1.2346487782334577E-4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1.2401646890542749E-4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1.617099761651636E-4</v>
      </c>
      <c r="C8" s="7">
        <f>$B8 * IFERROR(VLOOKUP("industry|NOx|Asthma symptoms wheeze", US_national_yearly!$D:$AM, 11, FALSE) / VLOOKUP("industry|NOx|Asthma symptoms wheeze", US_national_yearly!$D:$AM, 10, FALSE), 1)</f>
        <v>1.6392222351170724E-4</v>
      </c>
      <c r="D8" s="7">
        <f>$B8 * IFERROR(VLOOKUP("industry|NOx|Asthma symptoms wheeze", US_national_yearly!$D:$AM, 12, FALSE) / VLOOKUP("industry|NOx|Asthma symptoms wheeze", US_national_yearly!$D:$AM, 10, FALSE), 1)</f>
        <v>1.6613447085825087E-4</v>
      </c>
      <c r="E8" s="7">
        <f>$B8 * IFERROR(VLOOKUP("industry|NOx|Asthma symptoms wheeze", US_national_yearly!$D:$AM, 13, FALSE) / VLOOKUP("industry|NOx|Asthma symptoms wheeze", US_national_yearly!$D:$AM, 10, FALSE), 1)</f>
        <v>1.6834671820479451E-4</v>
      </c>
      <c r="F8" s="7">
        <f>$B8 * IFERROR(VLOOKUP("industry|NOx|Asthma symptoms wheeze", US_national_yearly!$D:$AM, 14, FALSE) / VLOOKUP("industry|NOx|Asthma symptoms wheeze", US_national_yearly!$D:$AM, 10, FALSE), 1)</f>
        <v>1.7055896555133812E-4</v>
      </c>
      <c r="G8" s="7">
        <f>$B8 * IFERROR(VLOOKUP("industry|NOx|Asthma symptoms wheeze", US_national_yearly!$D:$AM, 15, FALSE) / VLOOKUP("industry|NOx|Asthma symptoms wheeze", US_national_yearly!$D:$AM, 10, FALSE), 1)</f>
        <v>1.7233284472130631E-4</v>
      </c>
      <c r="H8" s="7">
        <f>$B8 * IFERROR(VLOOKUP("industry|NOx|Asthma symptoms wheeze", US_national_yearly!$D:$AM, 16, FALSE) / VLOOKUP("industry|NOx|Asthma symptoms wheeze", US_national_yearly!$D:$AM, 10, FALSE), 1)</f>
        <v>1.7410672389127441E-4</v>
      </c>
      <c r="I8" s="7">
        <f>$B8 * IFERROR(VLOOKUP("industry|NOx|Asthma symptoms wheeze", US_national_yearly!$D:$AM, 17, FALSE) / VLOOKUP("industry|NOx|Asthma symptoms wheeze", US_national_yearly!$D:$AM, 10, FALSE), 1)</f>
        <v>1.7472404956849985E-4</v>
      </c>
      <c r="J8" s="7">
        <f>$B8 * IFERROR(VLOOKUP("industry|NOx|Asthma symptoms wheeze", US_national_yearly!$D:$AM, 18, FALSE) / VLOOKUP("industry|NOx|Asthma symptoms wheeze", US_national_yearly!$D:$AM, 10, FALSE), 1)</f>
        <v>1.7534137524572525E-4</v>
      </c>
      <c r="K8" s="7">
        <f>$B8 * IFERROR(VLOOKUP("industry|NOx|Asthma symptoms wheeze", US_national_yearly!$D:$AM, 19, FALSE) / VLOOKUP("industry|NOx|Asthma symptoms wheeze", US_national_yearly!$D:$AM, 10, FALSE), 1)</f>
        <v>1.7595870092295069E-4</v>
      </c>
      <c r="L8" s="7">
        <f>$B8 * IFERROR(VLOOKUP("industry|NOx|Asthma symptoms wheeze", US_national_yearly!$D:$AM, 20, FALSE) / VLOOKUP("industry|NOx|Asthma symptoms wheeze", US_national_yearly!$D:$AM, 10, FALSE), 1)</f>
        <v>1.7657602660017604E-4</v>
      </c>
      <c r="M8" s="7">
        <f>$B8 * IFERROR(VLOOKUP("industry|NOx|Asthma symptoms wheeze", US_national_yearly!$D:$AM, 21, FALSE) / VLOOKUP("industry|NOx|Asthma symptoms wheeze", US_national_yearly!$D:$AM, 10, FALSE), 1)</f>
        <v>1.7719335227740147E-4</v>
      </c>
      <c r="N8" s="7">
        <f>$B8 * IFERROR(VLOOKUP("industry|NOx|Asthma symptoms wheeze", US_national_yearly!$D:$AM, 22, FALSE) / VLOOKUP("industry|NOx|Asthma symptoms wheeze", US_national_yearly!$D:$AM, 10, FALSE), 1)</f>
        <v>1.7789804638997884E-4</v>
      </c>
      <c r="O8" s="7">
        <f>$B8 * IFERROR(VLOOKUP("industry|NOx|Asthma symptoms wheeze", US_national_yearly!$D:$AM, 23, FALSE) / VLOOKUP("industry|NOx|Asthma symptoms wheeze", US_national_yearly!$D:$AM, 10, FALSE), 1)</f>
        <v>1.786027405025562E-4</v>
      </c>
      <c r="P8" s="7">
        <f>$B8 * IFERROR(VLOOKUP("industry|NOx|Asthma symptoms wheeze", US_national_yearly!$D:$AM, 24, FALSE) / VLOOKUP("industry|NOx|Asthma symptoms wheeze", US_national_yearly!$D:$AM, 10, FALSE), 1)</f>
        <v>1.7930743461513354E-4</v>
      </c>
      <c r="Q8" s="7">
        <f>$B8 * IFERROR(VLOOKUP("industry|NOx|Asthma symptoms wheeze", US_national_yearly!$D:$AM, 25, FALSE) / VLOOKUP("industry|NOx|Asthma symptoms wheeze", US_national_yearly!$D:$AM, 10, FALSE), 1)</f>
        <v>1.800121287277109E-4</v>
      </c>
      <c r="R8" s="7">
        <f>$B8 * IFERROR(VLOOKUP("industry|NOx|Asthma symptoms wheeze", US_national_yearly!$D:$AM, 26, FALSE) / VLOOKUP("industry|NOx|Asthma symptoms wheeze", US_national_yearly!$D:$AM, 10, FALSE), 1)</f>
        <v>1.8071682284028827E-4</v>
      </c>
      <c r="S8" s="7">
        <f>$B8 * IFERROR(VLOOKUP("industry|NOx|Asthma symptoms wheeze", US_national_yearly!$D:$AM, 27, FALSE) / VLOOKUP("industry|NOx|Asthma symptoms wheeze", US_national_yearly!$D:$AM, 10, FALSE), 1)</f>
        <v>1.8162584706530707E-4</v>
      </c>
      <c r="T8" s="7">
        <f>$B8 * IFERROR(VLOOKUP("industry|NOx|Asthma symptoms wheeze", US_national_yearly!$D:$AM, 28, FALSE) / VLOOKUP("industry|NOx|Asthma symptoms wheeze", US_national_yearly!$D:$AM, 10, FALSE), 1)</f>
        <v>1.8253487129032584E-4</v>
      </c>
      <c r="U8" s="7">
        <f>$B8 * IFERROR(VLOOKUP("industry|NOx|Asthma symptoms wheeze", US_national_yearly!$D:$AM, 29, FALSE) / VLOOKUP("industry|NOx|Asthma symptoms wheeze", US_national_yearly!$D:$AM, 10, FALSE), 1)</f>
        <v>1.8344389551534464E-4</v>
      </c>
      <c r="V8" s="7">
        <f>$B8 * IFERROR(VLOOKUP("industry|NOx|Asthma symptoms wheeze", US_national_yearly!$D:$AM, 30, FALSE) / VLOOKUP("industry|NOx|Asthma symptoms wheeze", US_national_yearly!$D:$AM, 10, FALSE), 1)</f>
        <v>1.8435291974036342E-4</v>
      </c>
      <c r="W8" s="7">
        <f>$B8 * IFERROR(VLOOKUP("industry|NOx|Asthma symptoms wheeze", US_national_yearly!$D:$AM, 31, FALSE) / VLOOKUP("industry|NOx|Asthma symptoms wheeze", US_national_yearly!$D:$AM, 10, FALSE), 1)</f>
        <v>1.8526194396538219E-4</v>
      </c>
      <c r="X8" s="7">
        <f>$B8 * IFERROR(VLOOKUP("industry|NOx|Asthma symptoms wheeze", US_national_yearly!$D:$AM, 32, FALSE) / VLOOKUP("industry|NOx|Asthma symptoms wheeze", US_national_yearly!$D:$AM, 10, FALSE), 1)</f>
        <v>1.8610467932466781E-4</v>
      </c>
      <c r="Y8" s="7">
        <f>$B8 * IFERROR(VLOOKUP("industry|NOx|Asthma symptoms wheeze", US_national_yearly!$D:$AM, 33, FALSE) / VLOOKUP("industry|NOx|Asthma symptoms wheeze", US_national_yearly!$D:$AM, 10, FALSE), 1)</f>
        <v>1.8694741468395341E-4</v>
      </c>
      <c r="Z8" s="7">
        <f>$B8 * IFERROR(VLOOKUP("industry|NOx|Asthma symptoms wheeze", US_national_yearly!$D:$AM, 34, FALSE) / VLOOKUP("industry|NOx|Asthma symptoms wheeze", US_national_yearly!$D:$AM, 10, FALSE), 1)</f>
        <v>1.87790150043239E-4</v>
      </c>
      <c r="AA8" s="7">
        <f>$B8 * IFERROR(VLOOKUP("industry|NOx|Asthma symptoms wheeze", US_national_yearly!$D:$AM, 35, FALSE) / VLOOKUP("industry|NOx|Asthma symptoms wheeze", US_national_yearly!$D:$AM, 10, FALSE), 1)</f>
        <v>1.8863288540252454E-4</v>
      </c>
      <c r="AB8" s="7">
        <f>$B8 * IFERROR(VLOOKUP("industry|NOx|Asthma symptoms wheeze", US_national_yearly!$D:$AM, 36, FALSE) / VLOOKUP("industry|NOx|Asthma symptoms wheeze", US_national_yearly!$D:$AM, 10, FALSE), 1)</f>
        <v>1.8947562076181027E-4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2.9046695849163106E-6</v>
      </c>
      <c r="C12" s="7">
        <f>$B12 * IFERROR(VLOOKUP("industry|NOx|Respiratory hospital admissions", US_national_yearly!$D:$AM, 11, FALSE) / VLOOKUP("industry|NOx|Respiratory hospital admissions", US_national_yearly!$D:$AM, 10, FALSE), 1)</f>
        <v>2.9776445080999708E-6</v>
      </c>
      <c r="D12" s="7">
        <f>$B12 * IFERROR(VLOOKUP("industry|NOx|Respiratory hospital admissions", US_national_yearly!$D:$AM, 12, FALSE) / VLOOKUP("industry|NOx|Respiratory hospital admissions", US_national_yearly!$D:$AM, 10, FALSE), 1)</f>
        <v>3.050619431283631E-6</v>
      </c>
      <c r="E12" s="7">
        <f>$B12 * IFERROR(VLOOKUP("industry|NOx|Respiratory hospital admissions", US_national_yearly!$D:$AM, 13, FALSE) / VLOOKUP("industry|NOx|Respiratory hospital admissions", US_national_yearly!$D:$AM, 10, FALSE), 1)</f>
        <v>3.1235943544672917E-6</v>
      </c>
      <c r="F12" s="7">
        <f>$B12 * IFERROR(VLOOKUP("industry|NOx|Respiratory hospital admissions", US_national_yearly!$D:$AM, 14, FALSE) / VLOOKUP("industry|NOx|Respiratory hospital admissions", US_national_yearly!$D:$AM, 10, FALSE), 1)</f>
        <v>3.1965692776509515E-6</v>
      </c>
      <c r="G12" s="7">
        <f>$B12 * IFERROR(VLOOKUP("industry|NOx|Respiratory hospital admissions", US_national_yearly!$D:$AM, 15, FALSE) / VLOOKUP("industry|NOx|Respiratory hospital admissions", US_national_yearly!$D:$AM, 10, FALSE), 1)</f>
        <v>3.2663730366699812E-6</v>
      </c>
      <c r="H12" s="7">
        <f>$B12 * IFERROR(VLOOKUP("industry|NOx|Respiratory hospital admissions", US_national_yearly!$D:$AM, 16, FALSE) / VLOOKUP("industry|NOx|Respiratory hospital admissions", US_national_yearly!$D:$AM, 10, FALSE), 1)</f>
        <v>3.3361767956890115E-6</v>
      </c>
      <c r="I12" s="7">
        <f>$B12 * IFERROR(VLOOKUP("industry|NOx|Respiratory hospital admissions", US_national_yearly!$D:$AM, 17, FALSE) / VLOOKUP("industry|NOx|Respiratory hospital admissions", US_national_yearly!$D:$AM, 10, FALSE), 1)</f>
        <v>3.3956241752940952E-6</v>
      </c>
      <c r="J12" s="7">
        <f>$B12 * IFERROR(VLOOKUP("industry|NOx|Respiratory hospital admissions", US_national_yearly!$D:$AM, 18, FALSE) / VLOOKUP("industry|NOx|Respiratory hospital admissions", US_national_yearly!$D:$AM, 10, FALSE), 1)</f>
        <v>3.4550715548991789E-6</v>
      </c>
      <c r="K12" s="7">
        <f>$B12 * IFERROR(VLOOKUP("industry|NOx|Respiratory hospital admissions", US_national_yearly!$D:$AM, 19, FALSE) / VLOOKUP("industry|NOx|Respiratory hospital admissions", US_national_yearly!$D:$AM, 10, FALSE), 1)</f>
        <v>3.5145189345042635E-6</v>
      </c>
      <c r="L12" s="7">
        <f>$B12 * IFERROR(VLOOKUP("industry|NOx|Respiratory hospital admissions", US_national_yearly!$D:$AM, 20, FALSE) / VLOOKUP("industry|NOx|Respiratory hospital admissions", US_national_yearly!$D:$AM, 10, FALSE), 1)</f>
        <v>3.5739663141093477E-6</v>
      </c>
      <c r="M12" s="7">
        <f>$B12 * IFERROR(VLOOKUP("industry|NOx|Respiratory hospital admissions", US_national_yearly!$D:$AM, 21, FALSE) / VLOOKUP("industry|NOx|Respiratory hospital admissions", US_national_yearly!$D:$AM, 10, FALSE), 1)</f>
        <v>3.6334136937144319E-6</v>
      </c>
      <c r="N12" s="7">
        <f>$B12 * IFERROR(VLOOKUP("industry|NOx|Respiratory hospital admissions", US_national_yearly!$D:$AM, 22, FALSE) / VLOOKUP("industry|NOx|Respiratory hospital admissions", US_national_yearly!$D:$AM, 10, FALSE), 1)</f>
        <v>3.6732563374665499E-6</v>
      </c>
      <c r="O12" s="7">
        <f>$B12 * IFERROR(VLOOKUP("industry|NOx|Respiratory hospital admissions", US_national_yearly!$D:$AM, 23, FALSE) / VLOOKUP("industry|NOx|Respiratory hospital admissions", US_national_yearly!$D:$AM, 10, FALSE), 1)</f>
        <v>3.7130989812186676E-6</v>
      </c>
      <c r="P12" s="7">
        <f>$B12 * IFERROR(VLOOKUP("industry|NOx|Respiratory hospital admissions", US_national_yearly!$D:$AM, 24, FALSE) / VLOOKUP("industry|NOx|Respiratory hospital admissions", US_national_yearly!$D:$AM, 10, FALSE), 1)</f>
        <v>3.7529416249707861E-6</v>
      </c>
      <c r="Q12" s="7">
        <f>$B12 * IFERROR(VLOOKUP("industry|NOx|Respiratory hospital admissions", US_national_yearly!$D:$AM, 25, FALSE) / VLOOKUP("industry|NOx|Respiratory hospital admissions", US_national_yearly!$D:$AM, 10, FALSE), 1)</f>
        <v>3.7927842687229037E-6</v>
      </c>
      <c r="R12" s="7">
        <f>$B12 * IFERROR(VLOOKUP("industry|NOx|Respiratory hospital admissions", US_national_yearly!$D:$AM, 26, FALSE) / VLOOKUP("industry|NOx|Respiratory hospital admissions", US_national_yearly!$D:$AM, 10, FALSE), 1)</f>
        <v>3.8326269124750217E-6</v>
      </c>
      <c r="S12" s="7">
        <f>$B12 * IFERROR(VLOOKUP("industry|NOx|Respiratory hospital admissions", US_national_yearly!$D:$AM, 27, FALSE) / VLOOKUP("industry|NOx|Respiratory hospital admissions", US_national_yearly!$D:$AM, 10, FALSE), 1)</f>
        <v>3.854258006220016E-6</v>
      </c>
      <c r="T12" s="7">
        <f>$B12 * IFERROR(VLOOKUP("industry|NOx|Respiratory hospital admissions", US_national_yearly!$D:$AM, 28, FALSE) / VLOOKUP("industry|NOx|Respiratory hospital admissions", US_national_yearly!$D:$AM, 10, FALSE), 1)</f>
        <v>3.8758890999650102E-6</v>
      </c>
      <c r="U12" s="7">
        <f>$B12 * IFERROR(VLOOKUP("industry|NOx|Respiratory hospital admissions", US_national_yearly!$D:$AM, 29, FALSE) / VLOOKUP("industry|NOx|Respiratory hospital admissions", US_national_yearly!$D:$AM, 10, FALSE), 1)</f>
        <v>3.8975201937100036E-6</v>
      </c>
      <c r="V12" s="7">
        <f>$B12 * IFERROR(VLOOKUP("industry|NOx|Respiratory hospital admissions", US_national_yearly!$D:$AM, 30, FALSE) / VLOOKUP("industry|NOx|Respiratory hospital admissions", US_national_yearly!$D:$AM, 10, FALSE), 1)</f>
        <v>3.9191512874549978E-6</v>
      </c>
      <c r="W12" s="7">
        <f>$B12 * IFERROR(VLOOKUP("industry|NOx|Respiratory hospital admissions", US_national_yearly!$D:$AM, 31, FALSE) / VLOOKUP("industry|NOx|Respiratory hospital admissions", US_national_yearly!$D:$AM, 10, FALSE), 1)</f>
        <v>3.9407823811999921E-6</v>
      </c>
      <c r="X12" s="7">
        <f>$B12 * IFERROR(VLOOKUP("industry|NOx|Respiratory hospital admissions", US_national_yearly!$D:$AM, 32, FALSE) / VLOOKUP("industry|NOx|Respiratory hospital admissions", US_national_yearly!$D:$AM, 10, FALSE), 1)</f>
        <v>3.9558649122598886E-6</v>
      </c>
      <c r="Y12" s="7">
        <f>$B12 * IFERROR(VLOOKUP("industry|NOx|Respiratory hospital admissions", US_national_yearly!$D:$AM, 33, FALSE) / VLOOKUP("industry|NOx|Respiratory hospital admissions", US_national_yearly!$D:$AM, 10, FALSE), 1)</f>
        <v>3.9709474433197852E-6</v>
      </c>
      <c r="Z12" s="7">
        <f>$B12 * IFERROR(VLOOKUP("industry|NOx|Respiratory hospital admissions", US_national_yearly!$D:$AM, 34, FALSE) / VLOOKUP("industry|NOx|Respiratory hospital admissions", US_national_yearly!$D:$AM, 10, FALSE), 1)</f>
        <v>3.9860299743796827E-6</v>
      </c>
      <c r="AA12" s="7">
        <f>$B12 * IFERROR(VLOOKUP("industry|NOx|Respiratory hospital admissions", US_national_yearly!$D:$AM, 35, FALSE) / VLOOKUP("industry|NOx|Respiratory hospital admissions", US_national_yearly!$D:$AM, 10, FALSE), 1)</f>
        <v>4.0011125054395792E-6</v>
      </c>
      <c r="AB12" s="7">
        <f>$B12 * IFERROR(VLOOKUP("industry|NOx|Respiratory hospital admissions", US_national_yearly!$D:$AM, 36, FALSE) / VLOOKUP("industry|NOx|Respiratory hospital admissions", US_national_yearly!$D:$AM, 10, FALSE), 1)</f>
        <v>4.0161950364994767E-6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1.2992152329148439E-5</v>
      </c>
      <c r="C13" s="7">
        <f>$B13 * IFERROR(VLOOKUP("industry|NOx|Non-fatal heart attacks", US_national_yearly!$D:$AM, 11, FALSE) / VLOOKUP("industry|NOx|Non-fatal heart attacks", US_national_yearly!$D:$AM, 10, FALSE), 1)</f>
        <v>1.3363350571312613E-5</v>
      </c>
      <c r="D13" s="7">
        <f>$B13 * IFERROR(VLOOKUP("industry|NOx|Non-fatal heart attacks", US_national_yearly!$D:$AM, 12, FALSE) / VLOOKUP("industry|NOx|Non-fatal heart attacks", US_national_yearly!$D:$AM, 10, FALSE), 1)</f>
        <v>1.3734548813476788E-5</v>
      </c>
      <c r="E13" s="7">
        <f>$B13 * IFERROR(VLOOKUP("industry|NOx|Non-fatal heart attacks", US_national_yearly!$D:$AM, 13, FALSE) / VLOOKUP("industry|NOx|Non-fatal heart attacks", US_national_yearly!$D:$AM, 10, FALSE), 1)</f>
        <v>1.4105747055640962E-5</v>
      </c>
      <c r="F13" s="7">
        <f>$B13 * IFERROR(VLOOKUP("industry|NOx|Non-fatal heart attacks", US_national_yearly!$D:$AM, 14, FALSE) / VLOOKUP("industry|NOx|Non-fatal heart attacks", US_national_yearly!$D:$AM, 10, FALSE), 1)</f>
        <v>1.4476945297805136E-5</v>
      </c>
      <c r="G13" s="7">
        <f>$B13 * IFERROR(VLOOKUP("industry|NOx|Non-fatal heart attacks", US_national_yearly!$D:$AM, 15, FALSE) / VLOOKUP("industry|NOx|Non-fatal heart attacks", US_national_yearly!$D:$AM, 10, FALSE), 1)</f>
        <v>1.4824123786216067E-5</v>
      </c>
      <c r="H13" s="7">
        <f>$B13 * IFERROR(VLOOKUP("industry|NOx|Non-fatal heart attacks", US_national_yearly!$D:$AM, 16, FALSE) / VLOOKUP("industry|NOx|Non-fatal heart attacks", US_national_yearly!$D:$AM, 10, FALSE), 1)</f>
        <v>1.5171302274626994E-5</v>
      </c>
      <c r="I13" s="7">
        <f>$B13 * IFERROR(VLOOKUP("industry|NOx|Non-fatal heart attacks", US_national_yearly!$D:$AM, 17, FALSE) / VLOOKUP("industry|NOx|Non-fatal heart attacks", US_national_yearly!$D:$AM, 10, FALSE), 1)</f>
        <v>1.5445883963846862E-5</v>
      </c>
      <c r="J13" s="7">
        <f>$B13 * IFERROR(VLOOKUP("industry|NOx|Non-fatal heart attacks", US_national_yearly!$D:$AM, 18, FALSE) / VLOOKUP("industry|NOx|Non-fatal heart attacks", US_national_yearly!$D:$AM, 10, FALSE), 1)</f>
        <v>1.5720465653066726E-5</v>
      </c>
      <c r="K13" s="7">
        <f>$B13 * IFERROR(VLOOKUP("industry|NOx|Non-fatal heart attacks", US_national_yearly!$D:$AM, 19, FALSE) / VLOOKUP("industry|NOx|Non-fatal heart attacks", US_national_yearly!$D:$AM, 10, FALSE), 1)</f>
        <v>1.5995047342286587E-5</v>
      </c>
      <c r="L13" s="7">
        <f>$B13 * IFERROR(VLOOKUP("industry|NOx|Non-fatal heart attacks", US_national_yearly!$D:$AM, 20, FALSE) / VLOOKUP("industry|NOx|Non-fatal heart attacks", US_national_yearly!$D:$AM, 10, FALSE), 1)</f>
        <v>1.6269629031506461E-5</v>
      </c>
      <c r="M13" s="7">
        <f>$B13 * IFERROR(VLOOKUP("industry|NOx|Non-fatal heart attacks", US_national_yearly!$D:$AM, 21, FALSE) / VLOOKUP("industry|NOx|Non-fatal heart attacks", US_national_yearly!$D:$AM, 10, FALSE), 1)</f>
        <v>1.6544210720726329E-5</v>
      </c>
      <c r="N13" s="7">
        <f>$B13 * IFERROR(VLOOKUP("industry|NOx|Non-fatal heart attacks", US_national_yearly!$D:$AM, 22, FALSE) / VLOOKUP("industry|NOx|Non-fatal heart attacks", US_national_yearly!$D:$AM, 10, FALSE), 1)</f>
        <v>1.6709633009818451E-5</v>
      </c>
      <c r="O13" s="7">
        <f>$B13 * IFERROR(VLOOKUP("industry|NOx|Non-fatal heart attacks", US_national_yearly!$D:$AM, 23, FALSE) / VLOOKUP("industry|NOx|Non-fatal heart attacks", US_national_yearly!$D:$AM, 10, FALSE), 1)</f>
        <v>1.6875055298910569E-5</v>
      </c>
      <c r="P13" s="7">
        <f>$B13 * IFERROR(VLOOKUP("industry|NOx|Non-fatal heart attacks", US_national_yearly!$D:$AM, 24, FALSE) / VLOOKUP("industry|NOx|Non-fatal heart attacks", US_national_yearly!$D:$AM, 10, FALSE), 1)</f>
        <v>1.7040477588002687E-5</v>
      </c>
      <c r="Q13" s="7">
        <f>$B13 * IFERROR(VLOOKUP("industry|NOx|Non-fatal heart attacks", US_national_yearly!$D:$AM, 25, FALSE) / VLOOKUP("industry|NOx|Non-fatal heart attacks", US_national_yearly!$D:$AM, 10, FALSE), 1)</f>
        <v>1.7205899877094809E-5</v>
      </c>
      <c r="R13" s="7">
        <f>$B13 * IFERROR(VLOOKUP("industry|NOx|Non-fatal heart attacks", US_national_yearly!$D:$AM, 26, FALSE) / VLOOKUP("industry|NOx|Non-fatal heart attacks", US_national_yearly!$D:$AM, 10, FALSE), 1)</f>
        <v>1.7371322166186927E-5</v>
      </c>
      <c r="S13" s="7">
        <f>$B13 * IFERROR(VLOOKUP("industry|NOx|Non-fatal heart attacks", US_national_yearly!$D:$AM, 27, FALSE) / VLOOKUP("industry|NOx|Non-fatal heart attacks", US_national_yearly!$D:$AM, 10, FALSE), 1)</f>
        <v>1.7447221212004336E-5</v>
      </c>
      <c r="T13" s="7">
        <f>$B13 * IFERROR(VLOOKUP("industry|NOx|Non-fatal heart attacks", US_national_yearly!$D:$AM, 28, FALSE) / VLOOKUP("industry|NOx|Non-fatal heart attacks", US_national_yearly!$D:$AM, 10, FALSE), 1)</f>
        <v>1.7523120257821745E-5</v>
      </c>
      <c r="U13" s="7">
        <f>$B13 * IFERROR(VLOOKUP("industry|NOx|Non-fatal heart attacks", US_national_yearly!$D:$AM, 29, FALSE) / VLOOKUP("industry|NOx|Non-fatal heart attacks", US_national_yearly!$D:$AM, 10, FALSE), 1)</f>
        <v>1.7599019303639154E-5</v>
      </c>
      <c r="V13" s="7">
        <f>$B13 * IFERROR(VLOOKUP("industry|NOx|Non-fatal heart attacks", US_national_yearly!$D:$AM, 30, FALSE) / VLOOKUP("industry|NOx|Non-fatal heart attacks", US_national_yearly!$D:$AM, 10, FALSE), 1)</f>
        <v>1.7674918349456566E-5</v>
      </c>
      <c r="W13" s="7">
        <f>$B13 * IFERROR(VLOOKUP("industry|NOx|Non-fatal heart attacks", US_national_yearly!$D:$AM, 31, FALSE) / VLOOKUP("industry|NOx|Non-fatal heart attacks", US_national_yearly!$D:$AM, 10, FALSE), 1)</f>
        <v>1.7750817395273975E-5</v>
      </c>
      <c r="X13" s="7">
        <f>$B13 * IFERROR(VLOOKUP("industry|NOx|Non-fatal heart attacks", US_national_yearly!$D:$AM, 32, FALSE) / VLOOKUP("industry|NOx|Non-fatal heart attacks", US_national_yearly!$D:$AM, 10, FALSE), 1)</f>
        <v>1.780204093611038E-5</v>
      </c>
      <c r="Y13" s="7">
        <f>$B13 * IFERROR(VLOOKUP("industry|NOx|Non-fatal heart attacks", US_national_yearly!$D:$AM, 33, FALSE) / VLOOKUP("industry|NOx|Non-fatal heart attacks", US_national_yearly!$D:$AM, 10, FALSE), 1)</f>
        <v>1.7853264476946789E-5</v>
      </c>
      <c r="Z13" s="7">
        <f>$B13 * IFERROR(VLOOKUP("industry|NOx|Non-fatal heart attacks", US_national_yearly!$D:$AM, 34, FALSE) / VLOOKUP("industry|NOx|Non-fatal heart attacks", US_national_yearly!$D:$AM, 10, FALSE), 1)</f>
        <v>1.7904488017783197E-5</v>
      </c>
      <c r="AA13" s="7">
        <f>$B13 * IFERROR(VLOOKUP("industry|NOx|Non-fatal heart attacks", US_national_yearly!$D:$AM, 35, FALSE) / VLOOKUP("industry|NOx|Non-fatal heart attacks", US_national_yearly!$D:$AM, 10, FALSE), 1)</f>
        <v>1.7955711558619603E-5</v>
      </c>
      <c r="AB13" s="7">
        <f>$B13 * IFERROR(VLOOKUP("industry|NOx|Non-fatal heart attacks", US_national_yearly!$D:$AM, 36, FALSE) / VLOOKUP("industry|NOx|Non-fatal heart attacks", US_national_yearly!$D:$AM, 10, FALSE), 1)</f>
        <v>1.8006935099456011E-5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1.1332600333185323E-2</v>
      </c>
      <c r="C14" s="7">
        <f>$B14 * IFERROR(VLOOKUP("industry|NOx|Minor restricted activity days", US_national_yearly!$D:$AM, 11, FALSE) / VLOOKUP("industry|NOx|Minor restricted activity days", US_national_yearly!$D:$AM, 10, FALSE), 1)</f>
        <v>1.134939045505356E-2</v>
      </c>
      <c r="D14" s="7">
        <f>$B14 * IFERROR(VLOOKUP("industry|NOx|Minor restricted activity days", US_national_yearly!$D:$AM, 12, FALSE) / VLOOKUP("industry|NOx|Minor restricted activity days", US_national_yearly!$D:$AM, 10, FALSE), 1)</f>
        <v>1.1366180576921793E-2</v>
      </c>
      <c r="E14" s="7">
        <f>$B14 * IFERROR(VLOOKUP("industry|NOx|Minor restricted activity days", US_national_yearly!$D:$AM, 13, FALSE) / VLOOKUP("industry|NOx|Minor restricted activity days", US_national_yearly!$D:$AM, 10, FALSE), 1)</f>
        <v>1.138297069879003E-2</v>
      </c>
      <c r="F14" s="7">
        <f>$B14 * IFERROR(VLOOKUP("industry|NOx|Minor restricted activity days", US_national_yearly!$D:$AM, 14, FALSE) / VLOOKUP("industry|NOx|Minor restricted activity days", US_national_yearly!$D:$AM, 10, FALSE), 1)</f>
        <v>1.1399760820658264E-2</v>
      </c>
      <c r="G14" s="7">
        <f>$B14 * IFERROR(VLOOKUP("industry|NOx|Minor restricted activity days", US_national_yearly!$D:$AM, 15, FALSE) / VLOOKUP("industry|NOx|Minor restricted activity days", US_national_yearly!$D:$AM, 10, FALSE), 1)</f>
        <v>1.1430325667336566E-2</v>
      </c>
      <c r="H14" s="7">
        <f>$B14 * IFERROR(VLOOKUP("industry|NOx|Minor restricted activity days", US_national_yearly!$D:$AM, 16, FALSE) / VLOOKUP("industry|NOx|Minor restricted activity days", US_national_yearly!$D:$AM, 10, FALSE), 1)</f>
        <v>1.1460890514014867E-2</v>
      </c>
      <c r="I14" s="7">
        <f>$B14 * IFERROR(VLOOKUP("industry|NOx|Minor restricted activity days", US_national_yearly!$D:$AM, 17, FALSE) / VLOOKUP("industry|NOx|Minor restricted activity days", US_national_yearly!$D:$AM, 10, FALSE), 1)</f>
        <v>1.1521061765531793E-2</v>
      </c>
      <c r="J14" s="7">
        <f>$B14 * IFERROR(VLOOKUP("industry|NOx|Minor restricted activity days", US_national_yearly!$D:$AM, 18, FALSE) / VLOOKUP("industry|NOx|Minor restricted activity days", US_national_yearly!$D:$AM, 10, FALSE), 1)</f>
        <v>1.1581233017048715E-2</v>
      </c>
      <c r="K14" s="7">
        <f>$B14 * IFERROR(VLOOKUP("industry|NOx|Minor restricted activity days", US_national_yearly!$D:$AM, 19, FALSE) / VLOOKUP("industry|NOx|Minor restricted activity days", US_national_yearly!$D:$AM, 10, FALSE), 1)</f>
        <v>1.1641404268565636E-2</v>
      </c>
      <c r="L14" s="7">
        <f>$B14 * IFERROR(VLOOKUP("industry|NOx|Minor restricted activity days", US_national_yearly!$D:$AM, 20, FALSE) / VLOOKUP("industry|NOx|Minor restricted activity days", US_national_yearly!$D:$AM, 10, FALSE), 1)</f>
        <v>1.1701575520082561E-2</v>
      </c>
      <c r="M14" s="7">
        <f>$B14 * IFERROR(VLOOKUP("industry|NOx|Minor restricted activity days", US_national_yearly!$D:$AM, 21, FALSE) / VLOOKUP("industry|NOx|Minor restricted activity days", US_national_yearly!$D:$AM, 10, FALSE), 1)</f>
        <v>1.1761746771599484E-2</v>
      </c>
      <c r="N14" s="7">
        <f>$B14 * IFERROR(VLOOKUP("industry|NOx|Minor restricted activity days", US_national_yearly!$D:$AM, 22, FALSE) / VLOOKUP("industry|NOx|Minor restricted activity days", US_national_yearly!$D:$AM, 10, FALSE), 1)</f>
        <v>1.1848397396356323E-2</v>
      </c>
      <c r="O14" s="7">
        <f>$B14 * IFERROR(VLOOKUP("industry|NOx|Minor restricted activity days", US_national_yearly!$D:$AM, 23, FALSE) / VLOOKUP("industry|NOx|Minor restricted activity days", US_national_yearly!$D:$AM, 10, FALSE), 1)</f>
        <v>1.1935048021113165E-2</v>
      </c>
      <c r="P14" s="7">
        <f>$B14 * IFERROR(VLOOKUP("industry|NOx|Minor restricted activity days", US_national_yearly!$D:$AM, 24, FALSE) / VLOOKUP("industry|NOx|Minor restricted activity days", US_national_yearly!$D:$AM, 10, FALSE), 1)</f>
        <v>1.2021698645870008E-2</v>
      </c>
      <c r="Q14" s="7">
        <f>$B14 * IFERROR(VLOOKUP("industry|NOx|Minor restricted activity days", US_national_yearly!$D:$AM, 25, FALSE) / VLOOKUP("industry|NOx|Minor restricted activity days", US_national_yearly!$D:$AM, 10, FALSE), 1)</f>
        <v>1.2108349270626848E-2</v>
      </c>
      <c r="R14" s="7">
        <f>$B14 * IFERROR(VLOOKUP("industry|NOx|Minor restricted activity days", US_national_yearly!$D:$AM, 26, FALSE) / VLOOKUP("industry|NOx|Minor restricted activity days", US_national_yearly!$D:$AM, 10, FALSE), 1)</f>
        <v>1.2194999895383691E-2</v>
      </c>
      <c r="S14" s="7">
        <f>$B14 * IFERROR(VLOOKUP("industry|NOx|Minor restricted activity days", US_national_yearly!$D:$AM, 27, FALSE) / VLOOKUP("industry|NOx|Minor restricted activity days", US_national_yearly!$D:$AM, 10, FALSE), 1)</f>
        <v>1.2281743291230303E-2</v>
      </c>
      <c r="T14" s="7">
        <f>$B14 * IFERROR(VLOOKUP("industry|NOx|Minor restricted activity days", US_national_yearly!$D:$AM, 28, FALSE) / VLOOKUP("industry|NOx|Minor restricted activity days", US_national_yearly!$D:$AM, 10, FALSE), 1)</f>
        <v>1.2368486687076918E-2</v>
      </c>
      <c r="U14" s="7">
        <f>$B14 * IFERROR(VLOOKUP("industry|NOx|Minor restricted activity days", US_national_yearly!$D:$AM, 29, FALSE) / VLOOKUP("industry|NOx|Minor restricted activity days", US_national_yearly!$D:$AM, 10, FALSE), 1)</f>
        <v>1.2455230082923534E-2</v>
      </c>
      <c r="V14" s="7">
        <f>$B14 * IFERROR(VLOOKUP("industry|NOx|Minor restricted activity days", US_national_yearly!$D:$AM, 30, FALSE) / VLOOKUP("industry|NOx|Minor restricted activity days", US_national_yearly!$D:$AM, 10, FALSE), 1)</f>
        <v>1.2541973478770148E-2</v>
      </c>
      <c r="W14" s="7">
        <f>$B14 * IFERROR(VLOOKUP("industry|NOx|Minor restricted activity days", US_national_yearly!$D:$AM, 31, FALSE) / VLOOKUP("industry|NOx|Minor restricted activity days", US_national_yearly!$D:$AM, 10, FALSE), 1)</f>
        <v>1.2628716874616764E-2</v>
      </c>
      <c r="X14" s="7">
        <f>$B14 * IFERROR(VLOOKUP("industry|NOx|Minor restricted activity days", US_national_yearly!$D:$AM, 32, FALSE) / VLOOKUP("industry|NOx|Minor restricted activity days", US_national_yearly!$D:$AM, 10, FALSE), 1)</f>
        <v>1.2701953057753236E-2</v>
      </c>
      <c r="Y14" s="7">
        <f>$B14 * IFERROR(VLOOKUP("industry|NOx|Minor restricted activity days", US_national_yearly!$D:$AM, 33, FALSE) / VLOOKUP("industry|NOx|Minor restricted activity days", US_national_yearly!$D:$AM, 10, FALSE), 1)</f>
        <v>1.2775189240889709E-2</v>
      </c>
      <c r="Z14" s="7">
        <f>$B14 * IFERROR(VLOOKUP("industry|NOx|Minor restricted activity days", US_national_yearly!$D:$AM, 34, FALSE) / VLOOKUP("industry|NOx|Minor restricted activity days", US_national_yearly!$D:$AM, 10, FALSE), 1)</f>
        <v>1.2848425424026179E-2</v>
      </c>
      <c r="AA14" s="7">
        <f>$B14 * IFERROR(VLOOKUP("industry|NOx|Minor restricted activity days", US_national_yearly!$D:$AM, 35, FALSE) / VLOOKUP("industry|NOx|Minor restricted activity days", US_national_yearly!$D:$AM, 10, FALSE), 1)</f>
        <v>1.2921661607162653E-2</v>
      </c>
      <c r="AB14" s="7">
        <f>$B14 * IFERROR(VLOOKUP("industry|NOx|Minor restricted activity days", US_national_yearly!$D:$AM, 36, FALSE) / VLOOKUP("industry|NOx|Minor restricted activity days", US_national_yearly!$D:$AM, 10, FALSE), 1)</f>
        <v>1.2994897790299127E-2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1.902461848776945E-3</v>
      </c>
      <c r="C15" s="7">
        <f>$B15 * IFERROR(VLOOKUP("industry|NOx|Work loss days", US_national_yearly!$D:$AM, 11, FALSE) / VLOOKUP("industry|NOx|Work loss days", US_national_yearly!$D:$AM, 10, FALSE), 1)</f>
        <v>1.9065838688805371E-3</v>
      </c>
      <c r="D15" s="7">
        <f>$B15 * IFERROR(VLOOKUP("industry|NOx|Work loss days", US_national_yearly!$D:$AM, 12, FALSE) / VLOOKUP("industry|NOx|Work loss days", US_national_yearly!$D:$AM, 10, FALSE), 1)</f>
        <v>1.9107058889841282E-3</v>
      </c>
      <c r="E15" s="7">
        <f>$B15 * IFERROR(VLOOKUP("industry|NOx|Work loss days", US_national_yearly!$D:$AM, 13, FALSE) / VLOOKUP("industry|NOx|Work loss days", US_national_yearly!$D:$AM, 10, FALSE), 1)</f>
        <v>1.9148279090877201E-3</v>
      </c>
      <c r="F15" s="7">
        <f>$B15 * IFERROR(VLOOKUP("industry|NOx|Work loss days", US_national_yearly!$D:$AM, 14, FALSE) / VLOOKUP("industry|NOx|Work loss days", US_national_yearly!$D:$AM, 10, FALSE), 1)</f>
        <v>1.9189499291913117E-3</v>
      </c>
      <c r="G15" s="7">
        <f>$B15 * IFERROR(VLOOKUP("industry|NOx|Work loss days", US_national_yearly!$D:$AM, 15, FALSE) / VLOOKUP("industry|NOx|Work loss days", US_national_yearly!$D:$AM, 10, FALSE), 1)</f>
        <v>1.9249794107701536E-3</v>
      </c>
      <c r="H15" s="7">
        <f>$B15 * IFERROR(VLOOKUP("industry|NOx|Work loss days", US_national_yearly!$D:$AM, 16, FALSE) / VLOOKUP("industry|NOx|Work loss days", US_national_yearly!$D:$AM, 10, FALSE), 1)</f>
        <v>1.9310088923489956E-3</v>
      </c>
      <c r="I15" s="7">
        <f>$B15 * IFERROR(VLOOKUP("industry|NOx|Work loss days", US_national_yearly!$D:$AM, 17, FALSE) / VLOOKUP("industry|NOx|Work loss days", US_national_yearly!$D:$AM, 10, FALSE), 1)</f>
        <v>1.9408052711118032E-3</v>
      </c>
      <c r="J15" s="7">
        <f>$B15 * IFERROR(VLOOKUP("industry|NOx|Work loss days", US_national_yearly!$D:$AM, 18, FALSE) / VLOOKUP("industry|NOx|Work loss days", US_national_yearly!$D:$AM, 10, FALSE), 1)</f>
        <v>1.9506016498746104E-3</v>
      </c>
      <c r="K15" s="7">
        <f>$B15 * IFERROR(VLOOKUP("industry|NOx|Work loss days", US_national_yearly!$D:$AM, 19, FALSE) / VLOOKUP("industry|NOx|Work loss days", US_national_yearly!$D:$AM, 10, FALSE), 1)</f>
        <v>1.9603980286374179E-3</v>
      </c>
      <c r="L15" s="7">
        <f>$B15 * IFERROR(VLOOKUP("industry|NOx|Work loss days", US_national_yearly!$D:$AM, 20, FALSE) / VLOOKUP("industry|NOx|Work loss days", US_national_yearly!$D:$AM, 10, FALSE), 1)</f>
        <v>1.9701944074002253E-3</v>
      </c>
      <c r="M15" s="7">
        <f>$B15 * IFERROR(VLOOKUP("industry|NOx|Work loss days", US_national_yearly!$D:$AM, 21, FALSE) / VLOOKUP("industry|NOx|Work loss days", US_national_yearly!$D:$AM, 10, FALSE), 1)</f>
        <v>1.9799907861630327E-3</v>
      </c>
      <c r="N15" s="7">
        <f>$B15 * IFERROR(VLOOKUP("industry|NOx|Work loss days", US_national_yearly!$D:$AM, 22, FALSE) / VLOOKUP("industry|NOx|Work loss days", US_national_yearly!$D:$AM, 10, FALSE), 1)</f>
        <v>1.9928022279937781E-3</v>
      </c>
      <c r="O15" s="7">
        <f>$B15 * IFERROR(VLOOKUP("industry|NOx|Work loss days", US_national_yearly!$D:$AM, 23, FALSE) / VLOOKUP("industry|NOx|Work loss days", US_national_yearly!$D:$AM, 10, FALSE), 1)</f>
        <v>2.0056136698245234E-3</v>
      </c>
      <c r="P15" s="7">
        <f>$B15 * IFERROR(VLOOKUP("industry|NOx|Work loss days", US_national_yearly!$D:$AM, 24, FALSE) / VLOOKUP("industry|NOx|Work loss days", US_national_yearly!$D:$AM, 10, FALSE), 1)</f>
        <v>2.0184251116552687E-3</v>
      </c>
      <c r="Q15" s="7">
        <f>$B15 * IFERROR(VLOOKUP("industry|NOx|Work loss days", US_national_yearly!$D:$AM, 25, FALSE) / VLOOKUP("industry|NOx|Work loss days", US_national_yearly!$D:$AM, 10, FALSE), 1)</f>
        <v>2.0312365534860136E-3</v>
      </c>
      <c r="R15" s="7">
        <f>$B15 * IFERROR(VLOOKUP("industry|NOx|Work loss days", US_national_yearly!$D:$AM, 26, FALSE) / VLOOKUP("industry|NOx|Work loss days", US_national_yearly!$D:$AM, 10, FALSE), 1)</f>
        <v>2.0440479953167594E-3</v>
      </c>
      <c r="S15" s="7">
        <f>$B15 * IFERROR(VLOOKUP("industry|NOx|Work loss days", US_national_yearly!$D:$AM, 27, FALSE) / VLOOKUP("industry|NOx|Work loss days", US_national_yearly!$D:$AM, 10, FALSE), 1)</f>
        <v>2.0583704112700587E-3</v>
      </c>
      <c r="T15" s="7">
        <f>$B15 * IFERROR(VLOOKUP("industry|NOx|Work loss days", US_national_yearly!$D:$AM, 28, FALSE) / VLOOKUP("industry|NOx|Work loss days", US_national_yearly!$D:$AM, 10, FALSE), 1)</f>
        <v>2.0726928272233585E-3</v>
      </c>
      <c r="U15" s="7">
        <f>$B15 * IFERROR(VLOOKUP("industry|NOx|Work loss days", US_national_yearly!$D:$AM, 29, FALSE) / VLOOKUP("industry|NOx|Work loss days", US_national_yearly!$D:$AM, 10, FALSE), 1)</f>
        <v>2.0870152431766583E-3</v>
      </c>
      <c r="V15" s="7">
        <f>$B15 * IFERROR(VLOOKUP("industry|NOx|Work loss days", US_national_yearly!$D:$AM, 30, FALSE) / VLOOKUP("industry|NOx|Work loss days", US_national_yearly!$D:$AM, 10, FALSE), 1)</f>
        <v>2.1013376591299576E-3</v>
      </c>
      <c r="W15" s="7">
        <f>$B15 * IFERROR(VLOOKUP("industry|NOx|Work loss days", US_national_yearly!$D:$AM, 31, FALSE) / VLOOKUP("industry|NOx|Work loss days", US_national_yearly!$D:$AM, 10, FALSE), 1)</f>
        <v>2.1156600750832574E-3</v>
      </c>
      <c r="X15" s="7">
        <f>$B15 * IFERROR(VLOOKUP("industry|NOx|Work loss days", US_national_yearly!$D:$AM, 32, FALSE) / VLOOKUP("industry|NOx|Work loss days", US_national_yearly!$D:$AM, 10, FALSE), 1)</f>
        <v>2.1280852704169502E-3</v>
      </c>
      <c r="Y15" s="7">
        <f>$B15 * IFERROR(VLOOKUP("industry|NOx|Work loss days", US_national_yearly!$D:$AM, 33, FALSE) / VLOOKUP("industry|NOx|Work loss days", US_national_yearly!$D:$AM, 10, FALSE), 1)</f>
        <v>2.1405104657506433E-3</v>
      </c>
      <c r="Z15" s="7">
        <f>$B15 * IFERROR(VLOOKUP("industry|NOx|Work loss days", US_national_yearly!$D:$AM, 34, FALSE) / VLOOKUP("industry|NOx|Work loss days", US_national_yearly!$D:$AM, 10, FALSE), 1)</f>
        <v>2.1529356610843361E-3</v>
      </c>
      <c r="AA15" s="7">
        <f>$B15 * IFERROR(VLOOKUP("industry|NOx|Work loss days", US_national_yearly!$D:$AM, 35, FALSE) / VLOOKUP("industry|NOx|Work loss days", US_national_yearly!$D:$AM, 10, FALSE), 1)</f>
        <v>2.1653608564180292E-3</v>
      </c>
      <c r="AB15" s="7">
        <f>$B15 * IFERROR(VLOOKUP("industry|NOx|Work loss days", US_national_yearly!$D:$AM, 36, FALSE) / VLOOKUP("industry|NOx|Work loss days", US_national_yearly!$D:$AM, 10, FALSE), 1)</f>
        <v>2.177786051751722E-3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2.9571189427914002E-6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3.0439478538705297E-6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3.1307767649496596E-6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3.2176056760287891E-6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3.3044345871079195E-6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3.3869588810491581E-6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3.4694831749903977E-6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3.5390571260015546E-6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3.6086310770127115E-6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3.6782050280238675E-6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3.7477789790350244E-6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3.8173529300461805E-6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3.8609090863965079E-6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3.9044652427468344E-6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3.948021399097161E-6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3.9915775554474875E-6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4.0351337117978133E-6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4.0552270233663511E-6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4.0753203349348889E-6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4.0954136465034268E-6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4.1155069580719646E-6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4.1356002696405025E-6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4.1469528502497597E-6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4.158305430859016E-6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4.1696580114682732E-6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4.1810105920775295E-6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4.1923631726867867E-6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3.9418087671040892E-3</v>
      </c>
      <c r="C2" s="7">
        <f>$B2 * IFERROR(VLOOKUP("industry|SO2|Premature mortality", US_national_yearly!$D:$AM, 11, FALSE) / VLOOKUP("industry|SO2|Premature mortality", US_national_yearly!$D:$AM, 10, FALSE), 1)</f>
        <v>3.9917786932909764E-3</v>
      </c>
      <c r="D2" s="7">
        <f>$B2 * IFERROR(VLOOKUP("industry|SO2|Premature mortality", US_national_yearly!$D:$AM, 12, FALSE) / VLOOKUP("industry|SO2|Premature mortality", US_national_yearly!$D:$AM, 10, FALSE), 1)</f>
        <v>4.0417486194778618E-3</v>
      </c>
      <c r="E2" s="7">
        <f>$B2 * IFERROR(VLOOKUP("industry|SO2|Premature mortality", US_national_yearly!$D:$AM, 13, FALSE) / VLOOKUP("industry|SO2|Premature mortality", US_national_yearly!$D:$AM, 10, FALSE), 1)</f>
        <v>4.091718545664748E-3</v>
      </c>
      <c r="F2" s="7">
        <f>$B2 * IFERROR(VLOOKUP("industry|SO2|Premature mortality", US_national_yearly!$D:$AM, 14, FALSE) / VLOOKUP("industry|SO2|Premature mortality", US_national_yearly!$D:$AM, 10, FALSE), 1)</f>
        <v>4.1416884718516352E-3</v>
      </c>
      <c r="G2" s="7">
        <f>$B2 * IFERROR(VLOOKUP("industry|SO2|Premature mortality", US_national_yearly!$D:$AM, 15, FALSE) / VLOOKUP("industry|SO2|Premature mortality", US_national_yearly!$D:$AM, 10, FALSE), 1)</f>
        <v>4.2380036864491143E-3</v>
      </c>
      <c r="H2" s="7">
        <f>$B2 * IFERROR(VLOOKUP("industry|SO2|Premature mortality", US_national_yearly!$D:$AM, 16, FALSE) / VLOOKUP("industry|SO2|Premature mortality", US_national_yearly!$D:$AM, 10, FALSE), 1)</f>
        <v>4.3343189010465934E-3</v>
      </c>
      <c r="I2" s="7">
        <f>$B2 * IFERROR(VLOOKUP("industry|SO2|Premature mortality", US_national_yearly!$D:$AM, 17, FALSE) / VLOOKUP("industry|SO2|Premature mortality", US_national_yearly!$D:$AM, 10, FALSE), 1)</f>
        <v>4.398096017107442E-3</v>
      </c>
      <c r="J2" s="7">
        <f>$B2 * IFERROR(VLOOKUP("industry|SO2|Premature mortality", US_national_yearly!$D:$AM, 18, FALSE) / VLOOKUP("industry|SO2|Premature mortality", US_national_yearly!$D:$AM, 10, FALSE), 1)</f>
        <v>4.4618731331682896E-3</v>
      </c>
      <c r="K2" s="7">
        <f>$B2 * IFERROR(VLOOKUP("industry|SO2|Premature mortality", US_national_yearly!$D:$AM, 19, FALSE) / VLOOKUP("industry|SO2|Premature mortality", US_national_yearly!$D:$AM, 10, FALSE), 1)</f>
        <v>4.5256502492291373E-3</v>
      </c>
      <c r="L2" s="7">
        <f>$B2 * IFERROR(VLOOKUP("industry|SO2|Premature mortality", US_national_yearly!$D:$AM, 20, FALSE) / VLOOKUP("industry|SO2|Premature mortality", US_national_yearly!$D:$AM, 10, FALSE), 1)</f>
        <v>4.5894273652899867E-3</v>
      </c>
      <c r="M2" s="7">
        <f>$B2 * IFERROR(VLOOKUP("industry|SO2|Premature mortality", US_national_yearly!$D:$AM, 21, FALSE) / VLOOKUP("industry|SO2|Premature mortality", US_national_yearly!$D:$AM, 10, FALSE), 1)</f>
        <v>4.6532044813508344E-3</v>
      </c>
      <c r="N2" s="7">
        <f>$B2 * IFERROR(VLOOKUP("industry|SO2|Premature mortality", US_national_yearly!$D:$AM, 22, FALSE) / VLOOKUP("industry|SO2|Premature mortality", US_national_yearly!$D:$AM, 10, FALSE), 1)</f>
        <v>4.7030933498443568E-3</v>
      </c>
      <c r="O2" s="7">
        <f>$B2 * IFERROR(VLOOKUP("industry|SO2|Premature mortality", US_national_yearly!$D:$AM, 23, FALSE) / VLOOKUP("industry|SO2|Premature mortality", US_national_yearly!$D:$AM, 10, FALSE), 1)</f>
        <v>4.7529822183378801E-3</v>
      </c>
      <c r="P2" s="7">
        <f>$B2 * IFERROR(VLOOKUP("industry|SO2|Premature mortality", US_national_yearly!$D:$AM, 24, FALSE) / VLOOKUP("industry|SO2|Premature mortality", US_national_yearly!$D:$AM, 10, FALSE), 1)</f>
        <v>4.8028710868314025E-3</v>
      </c>
      <c r="Q2" s="7">
        <f>$B2 * IFERROR(VLOOKUP("industry|SO2|Premature mortality", US_national_yearly!$D:$AM, 25, FALSE) / VLOOKUP("industry|SO2|Premature mortality", US_national_yearly!$D:$AM, 10, FALSE), 1)</f>
        <v>4.8527599553249258E-3</v>
      </c>
      <c r="R2" s="7">
        <f>$B2 * IFERROR(VLOOKUP("industry|SO2|Premature mortality", US_national_yearly!$D:$AM, 26, FALSE) / VLOOKUP("industry|SO2|Premature mortality", US_national_yearly!$D:$AM, 10, FALSE), 1)</f>
        <v>4.9026488238184483E-3</v>
      </c>
      <c r="S2" s="7">
        <f>$B2 * IFERROR(VLOOKUP("industry|SO2|Premature mortality", US_national_yearly!$D:$AM, 27, FALSE) / VLOOKUP("industry|SO2|Premature mortality", US_national_yearly!$D:$AM, 10, FALSE), 1)</f>
        <v>4.9295860643930756E-3</v>
      </c>
      <c r="T2" s="7">
        <f>$B2 * IFERROR(VLOOKUP("industry|SO2|Premature mortality", US_national_yearly!$D:$AM, 28, FALSE) / VLOOKUP("industry|SO2|Premature mortality", US_national_yearly!$D:$AM, 10, FALSE), 1)</f>
        <v>4.9565233049677039E-3</v>
      </c>
      <c r="U2" s="7">
        <f>$B2 * IFERROR(VLOOKUP("industry|SO2|Premature mortality", US_national_yearly!$D:$AM, 29, FALSE) / VLOOKUP("industry|SO2|Premature mortality", US_national_yearly!$D:$AM, 10, FALSE), 1)</f>
        <v>4.9834605455423321E-3</v>
      </c>
      <c r="V2" s="7">
        <f>$B2 * IFERROR(VLOOKUP("industry|SO2|Premature mortality", US_national_yearly!$D:$AM, 30, FALSE) / VLOOKUP("industry|SO2|Premature mortality", US_national_yearly!$D:$AM, 10, FALSE), 1)</f>
        <v>5.0103977861169604E-3</v>
      </c>
      <c r="W2" s="7">
        <f>$B2 * IFERROR(VLOOKUP("industry|SO2|Premature mortality", US_national_yearly!$D:$AM, 31, FALSE) / VLOOKUP("industry|SO2|Premature mortality", US_national_yearly!$D:$AM, 10, FALSE), 1)</f>
        <v>5.0373350266915886E-3</v>
      </c>
      <c r="X2" s="7">
        <f>$B2 * IFERROR(VLOOKUP("industry|SO2|Premature mortality", US_national_yearly!$D:$AM, 32, FALSE) / VLOOKUP("industry|SO2|Premature mortality", US_national_yearly!$D:$AM, 10, FALSE), 1)</f>
        <v>5.0431327428237032E-3</v>
      </c>
      <c r="Y2" s="7">
        <f>$B2 * IFERROR(VLOOKUP("industry|SO2|Premature mortality", US_national_yearly!$D:$AM, 33, FALSE) / VLOOKUP("industry|SO2|Premature mortality", US_national_yearly!$D:$AM, 10, FALSE), 1)</f>
        <v>5.0489304589558179E-3</v>
      </c>
      <c r="Z2" s="7">
        <f>$B2 * IFERROR(VLOOKUP("industry|SO2|Premature mortality", US_national_yearly!$D:$AM, 34, FALSE) / VLOOKUP("industry|SO2|Premature mortality", US_national_yearly!$D:$AM, 10, FALSE), 1)</f>
        <v>5.0547281750879334E-3</v>
      </c>
      <c r="AA2" s="7">
        <f>$B2 * IFERROR(VLOOKUP("industry|SO2|Premature mortality", US_national_yearly!$D:$AM, 35, FALSE) / VLOOKUP("industry|SO2|Premature mortality", US_national_yearly!$D:$AM, 10, FALSE), 1)</f>
        <v>5.0605258912200489E-3</v>
      </c>
      <c r="AB2" s="7">
        <f>$B2 * IFERROR(VLOOKUP("industry|SO2|Premature mortality", US_national_yearly!$D:$AM, 36, FALSE) / VLOOKUP("industry|SO2|Premature mortality", US_national_yearly!$D:$AM, 10, FALSE), 1)</f>
        <v>5.0663236073521635E-3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5.2868828054683079E-6</v>
      </c>
      <c r="C3" s="7">
        <f>$B3 * IFERROR(VLOOKUP("industry|SO2|Infant mortality", US_national_yearly!$D:$AM, 11, FALSE) / VLOOKUP("industry|SO2|Infant mortality", US_national_yearly!$D:$AM, 10, FALSE), 1)</f>
        <v>5.2413993449855936E-6</v>
      </c>
      <c r="D3" s="7">
        <f>$B3 * IFERROR(VLOOKUP("industry|SO2|Infant mortality", US_national_yearly!$D:$AM, 12, FALSE) / VLOOKUP("industry|SO2|Infant mortality", US_national_yearly!$D:$AM, 10, FALSE), 1)</f>
        <v>5.1959158845028793E-6</v>
      </c>
      <c r="E3" s="7">
        <f>$B3 * IFERROR(VLOOKUP("industry|SO2|Infant mortality", US_national_yearly!$D:$AM, 13, FALSE) / VLOOKUP("industry|SO2|Infant mortality", US_national_yearly!$D:$AM, 10, FALSE), 1)</f>
        <v>5.150432424020165E-6</v>
      </c>
      <c r="F3" s="7">
        <f>$B3 * IFERROR(VLOOKUP("industry|SO2|Infant mortality", US_national_yearly!$D:$AM, 14, FALSE) / VLOOKUP("industry|SO2|Infant mortality", US_national_yearly!$D:$AM, 10, FALSE), 1)</f>
        <v>5.1049489635374507E-6</v>
      </c>
      <c r="G3" s="7">
        <f>$B3 * IFERROR(VLOOKUP("industry|SO2|Infant mortality", US_national_yearly!$D:$AM, 15, FALSE) / VLOOKUP("industry|SO2|Infant mortality", US_national_yearly!$D:$AM, 10, FALSE), 1)</f>
        <v>3.3983560828057042E-6</v>
      </c>
      <c r="H3" s="7">
        <f>$B3 * IFERROR(VLOOKUP("industry|SO2|Infant mortality", US_national_yearly!$D:$AM, 16, FALSE) / VLOOKUP("industry|SO2|Infant mortality", US_national_yearly!$D:$AM, 10, FALSE), 1)</f>
        <v>1.691763202073958E-6</v>
      </c>
      <c r="I3" s="7">
        <f>$B3 * IFERROR(VLOOKUP("industry|SO2|Infant mortality", US_national_yearly!$D:$AM, 17, FALSE) / VLOOKUP("industry|SO2|Infant mortality", US_national_yearly!$D:$AM, 10, FALSE), 1)</f>
        <v>1.6810206500325108E-6</v>
      </c>
      <c r="J3" s="7">
        <f>$B3 * IFERROR(VLOOKUP("industry|SO2|Infant mortality", US_national_yearly!$D:$AM, 18, FALSE) / VLOOKUP("industry|SO2|Infant mortality", US_national_yearly!$D:$AM, 10, FALSE), 1)</f>
        <v>1.6702780979910635E-6</v>
      </c>
      <c r="K3" s="7">
        <f>$B3 * IFERROR(VLOOKUP("industry|SO2|Infant mortality", US_national_yearly!$D:$AM, 19, FALSE) / VLOOKUP("industry|SO2|Infant mortality", US_national_yearly!$D:$AM, 10, FALSE), 1)</f>
        <v>1.6595355459496163E-6</v>
      </c>
      <c r="L3" s="7">
        <f>$B3 * IFERROR(VLOOKUP("industry|SO2|Infant mortality", US_national_yearly!$D:$AM, 20, FALSE) / VLOOKUP("industry|SO2|Infant mortality", US_national_yearly!$D:$AM, 10, FALSE), 1)</f>
        <v>1.6487929939081689E-6</v>
      </c>
      <c r="M3" s="7">
        <f>$B3 * IFERROR(VLOOKUP("industry|SO2|Infant mortality", US_national_yearly!$D:$AM, 21, FALSE) / VLOOKUP("industry|SO2|Infant mortality", US_national_yearly!$D:$AM, 10, FALSE), 1)</f>
        <v>1.6380504418667217E-6</v>
      </c>
      <c r="N3" s="7">
        <f>$B3 * IFERROR(VLOOKUP("industry|SO2|Infant mortality", US_national_yearly!$D:$AM, 22, FALSE) / VLOOKUP("industry|SO2|Infant mortality", US_national_yearly!$D:$AM, 10, FALSE), 1)</f>
        <v>1.631241761914905E-6</v>
      </c>
      <c r="O3" s="7">
        <f>$B3 * IFERROR(VLOOKUP("industry|SO2|Infant mortality", US_national_yearly!$D:$AM, 23, FALSE) / VLOOKUP("industry|SO2|Infant mortality", US_national_yearly!$D:$AM, 10, FALSE), 1)</f>
        <v>1.6244330819630882E-6</v>
      </c>
      <c r="P3" s="7">
        <f>$B3 * IFERROR(VLOOKUP("industry|SO2|Infant mortality", US_national_yearly!$D:$AM, 24, FALSE) / VLOOKUP("industry|SO2|Infant mortality", US_national_yearly!$D:$AM, 10, FALSE), 1)</f>
        <v>1.6176244020112717E-6</v>
      </c>
      <c r="Q3" s="7">
        <f>$B3 * IFERROR(VLOOKUP("industry|SO2|Infant mortality", US_national_yearly!$D:$AM, 25, FALSE) / VLOOKUP("industry|SO2|Infant mortality", US_national_yearly!$D:$AM, 10, FALSE), 1)</f>
        <v>1.6108157220594549E-6</v>
      </c>
      <c r="R3" s="7">
        <f>$B3 * IFERROR(VLOOKUP("industry|SO2|Infant mortality", US_national_yearly!$D:$AM, 26, FALSE) / VLOOKUP("industry|SO2|Infant mortality", US_national_yearly!$D:$AM, 10, FALSE), 1)</f>
        <v>1.6040070421076383E-6</v>
      </c>
      <c r="S3" s="7">
        <f>$B3 * IFERROR(VLOOKUP("industry|SO2|Infant mortality", US_national_yearly!$D:$AM, 27, FALSE) / VLOOKUP("industry|SO2|Infant mortality", US_national_yearly!$D:$AM, 10, FALSE), 1)</f>
        <v>1.5955337175788727E-6</v>
      </c>
      <c r="T3" s="7">
        <f>$B3 * IFERROR(VLOOKUP("industry|SO2|Infant mortality", US_national_yearly!$D:$AM, 28, FALSE) / VLOOKUP("industry|SO2|Infant mortality", US_national_yearly!$D:$AM, 10, FALSE), 1)</f>
        <v>1.5870603930501073E-6</v>
      </c>
      <c r="U3" s="7">
        <f>$B3 * IFERROR(VLOOKUP("industry|SO2|Infant mortality", US_national_yearly!$D:$AM, 29, FALSE) / VLOOKUP("industry|SO2|Infant mortality", US_national_yearly!$D:$AM, 10, FALSE), 1)</f>
        <v>1.5785870685213417E-6</v>
      </c>
      <c r="V3" s="7">
        <f>$B3 * IFERROR(VLOOKUP("industry|SO2|Infant mortality", US_national_yearly!$D:$AM, 30, FALSE) / VLOOKUP("industry|SO2|Infant mortality", US_national_yearly!$D:$AM, 10, FALSE), 1)</f>
        <v>1.5701137439925763E-6</v>
      </c>
      <c r="W3" s="7">
        <f>$B3 * IFERROR(VLOOKUP("industry|SO2|Infant mortality", US_national_yearly!$D:$AM, 31, FALSE) / VLOOKUP("industry|SO2|Infant mortality", US_national_yearly!$D:$AM, 10, FALSE), 1)</f>
        <v>1.5616404194638107E-6</v>
      </c>
      <c r="X3" s="7">
        <f>$B3 * IFERROR(VLOOKUP("industry|SO2|Infant mortality", US_national_yearly!$D:$AM, 32, FALSE) / VLOOKUP("industry|SO2|Infant mortality", US_national_yearly!$D:$AM, 10, FALSE), 1)</f>
        <v>1.5524324443198023E-6</v>
      </c>
      <c r="Y3" s="7">
        <f>$B3 * IFERROR(VLOOKUP("industry|SO2|Infant mortality", US_national_yearly!$D:$AM, 33, FALSE) / VLOOKUP("industry|SO2|Infant mortality", US_national_yearly!$D:$AM, 10, FALSE), 1)</f>
        <v>1.5432244691757941E-6</v>
      </c>
      <c r="Z3" s="7">
        <f>$B3 * IFERROR(VLOOKUP("industry|SO2|Infant mortality", US_national_yearly!$D:$AM, 34, FALSE) / VLOOKUP("industry|SO2|Infant mortality", US_national_yearly!$D:$AM, 10, FALSE), 1)</f>
        <v>1.5340164940317857E-6</v>
      </c>
      <c r="AA3" s="7">
        <f>$B3 * IFERROR(VLOOKUP("industry|SO2|Infant mortality", US_national_yearly!$D:$AM, 35, FALSE) / VLOOKUP("industry|SO2|Infant mortality", US_national_yearly!$D:$AM, 10, FALSE), 1)</f>
        <v>1.5248085188877775E-6</v>
      </c>
      <c r="AB3" s="7">
        <f>$B3 * IFERROR(VLOOKUP("industry|SO2|Infant mortality", US_national_yearly!$D:$AM, 36, FALSE) / VLOOKUP("industry|SO2|Infant mortality", US_national_yearly!$D:$AM, 10, FALSE), 1)</f>
        <v>1.5156005437437692E-6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8.1358971176014126E-3</v>
      </c>
      <c r="C6" s="7">
        <f>$B6 * IFERROR(VLOOKUP("industry|SO2|Asthma symptoms cough", US_national_yearly!$D:$AM, 11, FALSE) / VLOOKUP("industry|SO2|Asthma symptoms cough", US_national_yearly!$D:$AM, 10, FALSE), 1)</f>
        <v>8.1358971176014126E-3</v>
      </c>
      <c r="D6" s="7">
        <f>$B6 * IFERROR(VLOOKUP("industry|SO2|Asthma symptoms cough", US_national_yearly!$D:$AM, 12, FALSE) / VLOOKUP("industry|SO2|Asthma symptoms cough", US_national_yearly!$D:$AM, 10, FALSE), 1)</f>
        <v>8.1358971176014126E-3</v>
      </c>
      <c r="E6" s="7">
        <f>$B6 * IFERROR(VLOOKUP("industry|SO2|Asthma symptoms cough", US_national_yearly!$D:$AM, 13, FALSE) / VLOOKUP("industry|SO2|Asthma symptoms cough", US_national_yearly!$D:$AM, 10, FALSE), 1)</f>
        <v>8.1358971176014126E-3</v>
      </c>
      <c r="F6" s="7">
        <f>$B6 * IFERROR(VLOOKUP("industry|SO2|Asthma symptoms cough", US_national_yearly!$D:$AM, 14, FALSE) / VLOOKUP("industry|SO2|Asthma symptoms cough", US_national_yearly!$D:$AM, 10, FALSE), 1)</f>
        <v>8.1358971176014126E-3</v>
      </c>
      <c r="G6" s="7">
        <f>$B6 * IFERROR(VLOOKUP("industry|SO2|Asthma symptoms cough", US_national_yearly!$D:$AM, 15, FALSE) / VLOOKUP("industry|SO2|Asthma symptoms cough", US_national_yearly!$D:$AM, 10, FALSE), 1)</f>
        <v>8.1358971176014126E-3</v>
      </c>
      <c r="H6" s="7">
        <f>$B6 * IFERROR(VLOOKUP("industry|SO2|Asthma symptoms cough", US_national_yearly!$D:$AM, 16, FALSE) / VLOOKUP("industry|SO2|Asthma symptoms cough", US_national_yearly!$D:$AM, 10, FALSE), 1)</f>
        <v>8.1358971176014126E-3</v>
      </c>
      <c r="I6" s="7">
        <f>$B6 * IFERROR(VLOOKUP("industry|SO2|Asthma symptoms cough", US_national_yearly!$D:$AM, 17, FALSE) / VLOOKUP("industry|SO2|Asthma symptoms cough", US_national_yearly!$D:$AM, 10, FALSE), 1)</f>
        <v>8.1358971176014126E-3</v>
      </c>
      <c r="J6" s="7">
        <f>$B6 * IFERROR(VLOOKUP("industry|SO2|Asthma symptoms cough", US_national_yearly!$D:$AM, 18, FALSE) / VLOOKUP("industry|SO2|Asthma symptoms cough", US_national_yearly!$D:$AM, 10, FALSE), 1)</f>
        <v>8.1358971176014126E-3</v>
      </c>
      <c r="K6" s="7">
        <f>$B6 * IFERROR(VLOOKUP("industry|SO2|Asthma symptoms cough", US_national_yearly!$D:$AM, 19, FALSE) / VLOOKUP("industry|SO2|Asthma symptoms cough", US_national_yearly!$D:$AM, 10, FALSE), 1)</f>
        <v>8.1358971176014126E-3</v>
      </c>
      <c r="L6" s="7">
        <f>$B6 * IFERROR(VLOOKUP("industry|SO2|Asthma symptoms cough", US_national_yearly!$D:$AM, 20, FALSE) / VLOOKUP("industry|SO2|Asthma symptoms cough", US_national_yearly!$D:$AM, 10, FALSE), 1)</f>
        <v>8.1358971176014126E-3</v>
      </c>
      <c r="M6" s="7">
        <f>$B6 * IFERROR(VLOOKUP("industry|SO2|Asthma symptoms cough", US_national_yearly!$D:$AM, 21, FALSE) / VLOOKUP("industry|SO2|Asthma symptoms cough", US_national_yearly!$D:$AM, 10, FALSE), 1)</f>
        <v>8.1358971176014126E-3</v>
      </c>
      <c r="N6" s="7">
        <f>$B6 * IFERROR(VLOOKUP("industry|SO2|Asthma symptoms cough", US_national_yearly!$D:$AM, 22, FALSE) / VLOOKUP("industry|SO2|Asthma symptoms cough", US_national_yearly!$D:$AM, 10, FALSE), 1)</f>
        <v>8.1358971176014126E-3</v>
      </c>
      <c r="O6" s="7">
        <f>$B6 * IFERROR(VLOOKUP("industry|SO2|Asthma symptoms cough", US_national_yearly!$D:$AM, 23, FALSE) / VLOOKUP("industry|SO2|Asthma symptoms cough", US_national_yearly!$D:$AM, 10, FALSE), 1)</f>
        <v>8.1358971176014126E-3</v>
      </c>
      <c r="P6" s="7">
        <f>$B6 * IFERROR(VLOOKUP("industry|SO2|Asthma symptoms cough", US_national_yearly!$D:$AM, 24, FALSE) / VLOOKUP("industry|SO2|Asthma symptoms cough", US_national_yearly!$D:$AM, 10, FALSE), 1)</f>
        <v>8.1358971176014126E-3</v>
      </c>
      <c r="Q6" s="7">
        <f>$B6 * IFERROR(VLOOKUP("industry|SO2|Asthma symptoms cough", US_national_yearly!$D:$AM, 25, FALSE) / VLOOKUP("industry|SO2|Asthma symptoms cough", US_national_yearly!$D:$AM, 10, FALSE), 1)</f>
        <v>8.1358971176014126E-3</v>
      </c>
      <c r="R6" s="7">
        <f>$B6 * IFERROR(VLOOKUP("industry|SO2|Asthma symptoms cough", US_national_yearly!$D:$AM, 26, FALSE) / VLOOKUP("industry|SO2|Asthma symptoms cough", US_national_yearly!$D:$AM, 10, FALSE), 1)</f>
        <v>8.1358971176014126E-3</v>
      </c>
      <c r="S6" s="7">
        <f>$B6 * IFERROR(VLOOKUP("industry|SO2|Asthma symptoms cough", US_national_yearly!$D:$AM, 27, FALSE) / VLOOKUP("industry|SO2|Asthma symptoms cough", US_national_yearly!$D:$AM, 10, FALSE), 1)</f>
        <v>8.1358971176014126E-3</v>
      </c>
      <c r="T6" s="7">
        <f>$B6 * IFERROR(VLOOKUP("industry|SO2|Asthma symptoms cough", US_national_yearly!$D:$AM, 28, FALSE) / VLOOKUP("industry|SO2|Asthma symptoms cough", US_national_yearly!$D:$AM, 10, FALSE), 1)</f>
        <v>8.1358971176014126E-3</v>
      </c>
      <c r="U6" s="7">
        <f>$B6 * IFERROR(VLOOKUP("industry|SO2|Asthma symptoms cough", US_national_yearly!$D:$AM, 29, FALSE) / VLOOKUP("industry|SO2|Asthma symptoms cough", US_national_yearly!$D:$AM, 10, FALSE), 1)</f>
        <v>8.1358971176014126E-3</v>
      </c>
      <c r="V6" s="7">
        <f>$B6 * IFERROR(VLOOKUP("industry|SO2|Asthma symptoms cough", US_national_yearly!$D:$AM, 30, FALSE) / VLOOKUP("industry|SO2|Asthma symptoms cough", US_national_yearly!$D:$AM, 10, FALSE), 1)</f>
        <v>8.1358971176014126E-3</v>
      </c>
      <c r="W6" s="7">
        <f>$B6 * IFERROR(VLOOKUP("industry|SO2|Asthma symptoms cough", US_national_yearly!$D:$AM, 31, FALSE) / VLOOKUP("industry|SO2|Asthma symptoms cough", US_national_yearly!$D:$AM, 10, FALSE), 1)</f>
        <v>8.1358971176014126E-3</v>
      </c>
      <c r="X6" s="7">
        <f>$B6 * IFERROR(VLOOKUP("industry|SO2|Asthma symptoms cough", US_national_yearly!$D:$AM, 32, FALSE) / VLOOKUP("industry|SO2|Asthma symptoms cough", US_national_yearly!$D:$AM, 10, FALSE), 1)</f>
        <v>8.1358971176014126E-3</v>
      </c>
      <c r="Y6" s="7">
        <f>$B6 * IFERROR(VLOOKUP("industry|SO2|Asthma symptoms cough", US_national_yearly!$D:$AM, 33, FALSE) / VLOOKUP("industry|SO2|Asthma symptoms cough", US_national_yearly!$D:$AM, 10, FALSE), 1)</f>
        <v>8.1358971176014126E-3</v>
      </c>
      <c r="Z6" s="7">
        <f>$B6 * IFERROR(VLOOKUP("industry|SO2|Asthma symptoms cough", US_national_yearly!$D:$AM, 34, FALSE) / VLOOKUP("industry|SO2|Asthma symptoms cough", US_national_yearly!$D:$AM, 10, FALSE), 1)</f>
        <v>8.1358971176014126E-3</v>
      </c>
      <c r="AA6" s="7">
        <f>$B6 * IFERROR(VLOOKUP("industry|SO2|Asthma symptoms cough", US_national_yearly!$D:$AM, 35, FALSE) / VLOOKUP("industry|SO2|Asthma symptoms cough", US_national_yearly!$D:$AM, 10, FALSE), 1)</f>
        <v>8.1358971176014126E-3</v>
      </c>
      <c r="AB6" s="7">
        <f>$B6 * IFERROR(VLOOKUP("industry|SO2|Asthma symptoms cough", US_national_yearly!$D:$AM, 36, FALSE) / VLOOKUP("industry|SO2|Asthma symptoms cough", US_national_yearly!$D:$AM, 10, FALSE), 1)</f>
        <v>8.1358971176014126E-3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1.0956172874508218E-2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1.0956172874508218E-2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1.0956172874508218E-2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1.0956172874508218E-2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1.0956172874508218E-2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1.0956172874508218E-2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1.0956172874508218E-2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1.0956172874508218E-2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1.0956172874508218E-2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1.0956172874508218E-2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1.0956172874508218E-2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1.0956172874508218E-2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1.0956172874508218E-2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1.0956172874508218E-2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1.0956172874508218E-2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1.0956172874508218E-2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1.0956172874508218E-2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1.0956172874508218E-2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1.0956172874508218E-2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1.0956172874508218E-2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1.0956172874508218E-2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1.0956172874508218E-2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1.0956172874508218E-2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1.0956172874508218E-2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1.0956172874508218E-2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1.0956172874508218E-2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1.0956172874508218E-2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1.6739150999829283E-2</v>
      </c>
      <c r="C8" s="7">
        <f>$B8 * IFERROR(VLOOKUP("industry|SO2|Asthma symptoms wheeze", US_national_yearly!$D:$AM, 11, FALSE) / VLOOKUP("industry|SO2|Asthma symptoms wheeze", US_national_yearly!$D:$AM, 10, FALSE), 1)</f>
        <v>1.6739150999829283E-2</v>
      </c>
      <c r="D8" s="7">
        <f>$B8 * IFERROR(VLOOKUP("industry|SO2|Asthma symptoms wheeze", US_national_yearly!$D:$AM, 12, FALSE) / VLOOKUP("industry|SO2|Asthma symptoms wheeze", US_national_yearly!$D:$AM, 10, FALSE), 1)</f>
        <v>1.6739150999829283E-2</v>
      </c>
      <c r="E8" s="7">
        <f>$B8 * IFERROR(VLOOKUP("industry|SO2|Asthma symptoms wheeze", US_national_yearly!$D:$AM, 13, FALSE) / VLOOKUP("industry|SO2|Asthma symptoms wheeze", US_national_yearly!$D:$AM, 10, FALSE), 1)</f>
        <v>1.6739150999829283E-2</v>
      </c>
      <c r="F8" s="7">
        <f>$B8 * IFERROR(VLOOKUP("industry|SO2|Asthma symptoms wheeze", US_national_yearly!$D:$AM, 14, FALSE) / VLOOKUP("industry|SO2|Asthma symptoms wheeze", US_national_yearly!$D:$AM, 10, FALSE), 1)</f>
        <v>1.6739150999829283E-2</v>
      </c>
      <c r="G8" s="7">
        <f>$B8 * IFERROR(VLOOKUP("industry|SO2|Asthma symptoms wheeze", US_national_yearly!$D:$AM, 15, FALSE) / VLOOKUP("industry|SO2|Asthma symptoms wheeze", US_national_yearly!$D:$AM, 10, FALSE), 1)</f>
        <v>1.6739150999829283E-2</v>
      </c>
      <c r="H8" s="7">
        <f>$B8 * IFERROR(VLOOKUP("industry|SO2|Asthma symptoms wheeze", US_national_yearly!$D:$AM, 16, FALSE) / VLOOKUP("industry|SO2|Asthma symptoms wheeze", US_national_yearly!$D:$AM, 10, FALSE), 1)</f>
        <v>1.6739150999829283E-2</v>
      </c>
      <c r="I8" s="7">
        <f>$B8 * IFERROR(VLOOKUP("industry|SO2|Asthma symptoms wheeze", US_national_yearly!$D:$AM, 17, FALSE) / VLOOKUP("industry|SO2|Asthma symptoms wheeze", US_national_yearly!$D:$AM, 10, FALSE), 1)</f>
        <v>1.6739150999829283E-2</v>
      </c>
      <c r="J8" s="7">
        <f>$B8 * IFERROR(VLOOKUP("industry|SO2|Asthma symptoms wheeze", US_national_yearly!$D:$AM, 18, FALSE) / VLOOKUP("industry|SO2|Asthma symptoms wheeze", US_national_yearly!$D:$AM, 10, FALSE), 1)</f>
        <v>1.6739150999829283E-2</v>
      </c>
      <c r="K8" s="7">
        <f>$B8 * IFERROR(VLOOKUP("industry|SO2|Asthma symptoms wheeze", US_national_yearly!$D:$AM, 19, FALSE) / VLOOKUP("industry|SO2|Asthma symptoms wheeze", US_national_yearly!$D:$AM, 10, FALSE), 1)</f>
        <v>1.6739150999829283E-2</v>
      </c>
      <c r="L8" s="7">
        <f>$B8 * IFERROR(VLOOKUP("industry|SO2|Asthma symptoms wheeze", US_national_yearly!$D:$AM, 20, FALSE) / VLOOKUP("industry|SO2|Asthma symptoms wheeze", US_national_yearly!$D:$AM, 10, FALSE), 1)</f>
        <v>1.6739150999829283E-2</v>
      </c>
      <c r="M8" s="7">
        <f>$B8 * IFERROR(VLOOKUP("industry|SO2|Asthma symptoms wheeze", US_national_yearly!$D:$AM, 21, FALSE) / VLOOKUP("industry|SO2|Asthma symptoms wheeze", US_national_yearly!$D:$AM, 10, FALSE), 1)</f>
        <v>1.6739150999829283E-2</v>
      </c>
      <c r="N8" s="7">
        <f>$B8 * IFERROR(VLOOKUP("industry|SO2|Asthma symptoms wheeze", US_national_yearly!$D:$AM, 22, FALSE) / VLOOKUP("industry|SO2|Asthma symptoms wheeze", US_national_yearly!$D:$AM, 10, FALSE), 1)</f>
        <v>1.6739150999829283E-2</v>
      </c>
      <c r="O8" s="7">
        <f>$B8 * IFERROR(VLOOKUP("industry|SO2|Asthma symptoms wheeze", US_national_yearly!$D:$AM, 23, FALSE) / VLOOKUP("industry|SO2|Asthma symptoms wheeze", US_national_yearly!$D:$AM, 10, FALSE), 1)</f>
        <v>1.6739150999829283E-2</v>
      </c>
      <c r="P8" s="7">
        <f>$B8 * IFERROR(VLOOKUP("industry|SO2|Asthma symptoms wheeze", US_national_yearly!$D:$AM, 24, FALSE) / VLOOKUP("industry|SO2|Asthma symptoms wheeze", US_national_yearly!$D:$AM, 10, FALSE), 1)</f>
        <v>1.6739150999829283E-2</v>
      </c>
      <c r="Q8" s="7">
        <f>$B8 * IFERROR(VLOOKUP("industry|SO2|Asthma symptoms wheeze", US_national_yearly!$D:$AM, 25, FALSE) / VLOOKUP("industry|SO2|Asthma symptoms wheeze", US_national_yearly!$D:$AM, 10, FALSE), 1)</f>
        <v>1.6739150999829283E-2</v>
      </c>
      <c r="R8" s="7">
        <f>$B8 * IFERROR(VLOOKUP("industry|SO2|Asthma symptoms wheeze", US_national_yearly!$D:$AM, 26, FALSE) / VLOOKUP("industry|SO2|Asthma symptoms wheeze", US_national_yearly!$D:$AM, 10, FALSE), 1)</f>
        <v>1.6739150999829283E-2</v>
      </c>
      <c r="S8" s="7">
        <f>$B8 * IFERROR(VLOOKUP("industry|SO2|Asthma symptoms wheeze", US_national_yearly!$D:$AM, 27, FALSE) / VLOOKUP("industry|SO2|Asthma symptoms wheeze", US_national_yearly!$D:$AM, 10, FALSE), 1)</f>
        <v>1.6739150999829283E-2</v>
      </c>
      <c r="T8" s="7">
        <f>$B8 * IFERROR(VLOOKUP("industry|SO2|Asthma symptoms wheeze", US_national_yearly!$D:$AM, 28, FALSE) / VLOOKUP("industry|SO2|Asthma symptoms wheeze", US_national_yearly!$D:$AM, 10, FALSE), 1)</f>
        <v>1.6739150999829283E-2</v>
      </c>
      <c r="U8" s="7">
        <f>$B8 * IFERROR(VLOOKUP("industry|SO2|Asthma symptoms wheeze", US_national_yearly!$D:$AM, 29, FALSE) / VLOOKUP("industry|SO2|Asthma symptoms wheeze", US_national_yearly!$D:$AM, 10, FALSE), 1)</f>
        <v>1.6739150999829283E-2</v>
      </c>
      <c r="V8" s="7">
        <f>$B8 * IFERROR(VLOOKUP("industry|SO2|Asthma symptoms wheeze", US_national_yearly!$D:$AM, 30, FALSE) / VLOOKUP("industry|SO2|Asthma symptoms wheeze", US_national_yearly!$D:$AM, 10, FALSE), 1)</f>
        <v>1.6739150999829283E-2</v>
      </c>
      <c r="W8" s="7">
        <f>$B8 * IFERROR(VLOOKUP("industry|SO2|Asthma symptoms wheeze", US_national_yearly!$D:$AM, 31, FALSE) / VLOOKUP("industry|SO2|Asthma symptoms wheeze", US_national_yearly!$D:$AM, 10, FALSE), 1)</f>
        <v>1.6739150999829283E-2</v>
      </c>
      <c r="X8" s="7">
        <f>$B8 * IFERROR(VLOOKUP("industry|SO2|Asthma symptoms wheeze", US_national_yearly!$D:$AM, 32, FALSE) / VLOOKUP("industry|SO2|Asthma symptoms wheeze", US_national_yearly!$D:$AM, 10, FALSE), 1)</f>
        <v>1.6739150999829283E-2</v>
      </c>
      <c r="Y8" s="7">
        <f>$B8 * IFERROR(VLOOKUP("industry|SO2|Asthma symptoms wheeze", US_national_yearly!$D:$AM, 33, FALSE) / VLOOKUP("industry|SO2|Asthma symptoms wheeze", US_national_yearly!$D:$AM, 10, FALSE), 1)</f>
        <v>1.6739150999829283E-2</v>
      </c>
      <c r="Z8" s="7">
        <f>$B8 * IFERROR(VLOOKUP("industry|SO2|Asthma symptoms wheeze", US_national_yearly!$D:$AM, 34, FALSE) / VLOOKUP("industry|SO2|Asthma symptoms wheeze", US_national_yearly!$D:$AM, 10, FALSE), 1)</f>
        <v>1.6739150999829283E-2</v>
      </c>
      <c r="AA8" s="7">
        <f>$B8 * IFERROR(VLOOKUP("industry|SO2|Asthma symptoms wheeze", US_national_yearly!$D:$AM, 35, FALSE) / VLOOKUP("industry|SO2|Asthma symptoms wheeze", US_national_yearly!$D:$AM, 10, FALSE), 1)</f>
        <v>1.6739150999829283E-2</v>
      </c>
      <c r="AB8" s="7">
        <f>$B8 * IFERROR(VLOOKUP("industry|SO2|Asthma symptoms wheeze", US_national_yearly!$D:$AM, 36, FALSE) / VLOOKUP("industry|SO2|Asthma symptoms wheeze", US_national_yearly!$D:$AM, 10, FALSE), 1)</f>
        <v>1.6739150999829283E-2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3.022289213339895E-4</v>
      </c>
      <c r="C12" s="7">
        <f>$B12 * IFERROR(VLOOKUP("industry|SO2|Respiratory hospital admissions", US_national_yearly!$D:$AM, 11, FALSE) / VLOOKUP("industry|SO2|Respiratory hospital admissions", US_national_yearly!$D:$AM, 10, FALSE), 1)</f>
        <v>3.0399940584240602E-4</v>
      </c>
      <c r="D12" s="7">
        <f>$B12 * IFERROR(VLOOKUP("industry|SO2|Respiratory hospital admissions", US_national_yearly!$D:$AM, 12, FALSE) / VLOOKUP("industry|SO2|Respiratory hospital admissions", US_national_yearly!$D:$AM, 10, FALSE), 1)</f>
        <v>3.0576989035082253E-4</v>
      </c>
      <c r="E12" s="7">
        <f>$B12 * IFERROR(VLOOKUP("industry|SO2|Respiratory hospital admissions", US_national_yearly!$D:$AM, 13, FALSE) / VLOOKUP("industry|SO2|Respiratory hospital admissions", US_national_yearly!$D:$AM, 10, FALSE), 1)</f>
        <v>3.0754037485923905E-4</v>
      </c>
      <c r="F12" s="7">
        <f>$B12 * IFERROR(VLOOKUP("industry|SO2|Respiratory hospital admissions", US_national_yearly!$D:$AM, 14, FALSE) / VLOOKUP("industry|SO2|Respiratory hospital admissions", US_national_yearly!$D:$AM, 10, FALSE), 1)</f>
        <v>3.0931085936765568E-4</v>
      </c>
      <c r="G12" s="7">
        <f>$B12 * IFERROR(VLOOKUP("industry|SO2|Respiratory hospital admissions", US_national_yearly!$D:$AM, 15, FALSE) / VLOOKUP("industry|SO2|Respiratory hospital admissions", US_national_yearly!$D:$AM, 10, FALSE), 1)</f>
        <v>3.112410299682144E-4</v>
      </c>
      <c r="H12" s="7">
        <f>$B12 * IFERROR(VLOOKUP("industry|SO2|Respiratory hospital admissions", US_national_yearly!$D:$AM, 16, FALSE) / VLOOKUP("industry|SO2|Respiratory hospital admissions", US_national_yearly!$D:$AM, 10, FALSE), 1)</f>
        <v>3.1317120056877318E-4</v>
      </c>
      <c r="I12" s="7">
        <f>$B12 * IFERROR(VLOOKUP("industry|SO2|Respiratory hospital admissions", US_national_yearly!$D:$AM, 17, FALSE) / VLOOKUP("industry|SO2|Respiratory hospital admissions", US_national_yearly!$D:$AM, 10, FALSE), 1)</f>
        <v>3.1506694459076007E-4</v>
      </c>
      <c r="J12" s="7">
        <f>$B12 * IFERROR(VLOOKUP("industry|SO2|Respiratory hospital admissions", US_national_yearly!$D:$AM, 18, FALSE) / VLOOKUP("industry|SO2|Respiratory hospital admissions", US_national_yearly!$D:$AM, 10, FALSE), 1)</f>
        <v>3.1696268861274696E-4</v>
      </c>
      <c r="K12" s="7">
        <f>$B12 * IFERROR(VLOOKUP("industry|SO2|Respiratory hospital admissions", US_national_yearly!$D:$AM, 19, FALSE) / VLOOKUP("industry|SO2|Respiratory hospital admissions", US_national_yearly!$D:$AM, 10, FALSE), 1)</f>
        <v>3.188584326347338E-4</v>
      </c>
      <c r="L12" s="7">
        <f>$B12 * IFERROR(VLOOKUP("industry|SO2|Respiratory hospital admissions", US_national_yearly!$D:$AM, 20, FALSE) / VLOOKUP("industry|SO2|Respiratory hospital admissions", US_national_yearly!$D:$AM, 10, FALSE), 1)</f>
        <v>3.2075417665672074E-4</v>
      </c>
      <c r="M12" s="7">
        <f>$B12 * IFERROR(VLOOKUP("industry|SO2|Respiratory hospital admissions", US_national_yearly!$D:$AM, 21, FALSE) / VLOOKUP("industry|SO2|Respiratory hospital admissions", US_national_yearly!$D:$AM, 10, FALSE), 1)</f>
        <v>3.2264992067870764E-4</v>
      </c>
      <c r="N12" s="7">
        <f>$B12 * IFERROR(VLOOKUP("industry|SO2|Respiratory hospital admissions", US_national_yearly!$D:$AM, 22, FALSE) / VLOOKUP("industry|SO2|Respiratory hospital admissions", US_national_yearly!$D:$AM, 10, FALSE), 1)</f>
        <v>3.2402170773586174E-4</v>
      </c>
      <c r="O12" s="7">
        <f>$B12 * IFERROR(VLOOKUP("industry|SO2|Respiratory hospital admissions", US_national_yearly!$D:$AM, 23, FALSE) / VLOOKUP("industry|SO2|Respiratory hospital admissions", US_national_yearly!$D:$AM, 10, FALSE), 1)</f>
        <v>3.2539349479301585E-4</v>
      </c>
      <c r="P12" s="7">
        <f>$B12 * IFERROR(VLOOKUP("industry|SO2|Respiratory hospital admissions", US_national_yearly!$D:$AM, 24, FALSE) / VLOOKUP("industry|SO2|Respiratory hospital admissions", US_national_yearly!$D:$AM, 10, FALSE), 1)</f>
        <v>3.267652818501699E-4</v>
      </c>
      <c r="Q12" s="7">
        <f>$B12 * IFERROR(VLOOKUP("industry|SO2|Respiratory hospital admissions", US_national_yearly!$D:$AM, 25, FALSE) / VLOOKUP("industry|SO2|Respiratory hospital admissions", US_national_yearly!$D:$AM, 10, FALSE), 1)</f>
        <v>3.2813706890732401E-4</v>
      </c>
      <c r="R12" s="7">
        <f>$B12 * IFERROR(VLOOKUP("industry|SO2|Respiratory hospital admissions", US_national_yearly!$D:$AM, 26, FALSE) / VLOOKUP("industry|SO2|Respiratory hospital admissions", US_national_yearly!$D:$AM, 10, FALSE), 1)</f>
        <v>3.2950885596447807E-4</v>
      </c>
      <c r="S12" s="7">
        <f>$B12 * IFERROR(VLOOKUP("industry|SO2|Respiratory hospital admissions", US_national_yearly!$D:$AM, 27, FALSE) / VLOOKUP("industry|SO2|Respiratory hospital admissions", US_national_yearly!$D:$AM, 10, FALSE), 1)</f>
        <v>3.3081252987432876E-4</v>
      </c>
      <c r="T12" s="7">
        <f>$B12 * IFERROR(VLOOKUP("industry|SO2|Respiratory hospital admissions", US_national_yearly!$D:$AM, 28, FALSE) / VLOOKUP("industry|SO2|Respiratory hospital admissions", US_national_yearly!$D:$AM, 10, FALSE), 1)</f>
        <v>3.3211620378417934E-4</v>
      </c>
      <c r="U12" s="7">
        <f>$B12 * IFERROR(VLOOKUP("industry|SO2|Respiratory hospital admissions", US_national_yearly!$D:$AM, 29, FALSE) / VLOOKUP("industry|SO2|Respiratory hospital admissions", US_national_yearly!$D:$AM, 10, FALSE), 1)</f>
        <v>3.3341987769402992E-4</v>
      </c>
      <c r="V12" s="7">
        <f>$B12 * IFERROR(VLOOKUP("industry|SO2|Respiratory hospital admissions", US_national_yearly!$D:$AM, 30, FALSE) / VLOOKUP("industry|SO2|Respiratory hospital admissions", US_national_yearly!$D:$AM, 10, FALSE), 1)</f>
        <v>3.3472355160388056E-4</v>
      </c>
      <c r="W12" s="7">
        <f>$B12 * IFERROR(VLOOKUP("industry|SO2|Respiratory hospital admissions", US_national_yearly!$D:$AM, 31, FALSE) / VLOOKUP("industry|SO2|Respiratory hospital admissions", US_national_yearly!$D:$AM, 10, FALSE), 1)</f>
        <v>3.3602722551373114E-4</v>
      </c>
      <c r="X12" s="7">
        <f>$B12 * IFERROR(VLOOKUP("industry|SO2|Respiratory hospital admissions", US_national_yearly!$D:$AM, 32, FALSE) / VLOOKUP("industry|SO2|Respiratory hospital admissions", US_national_yearly!$D:$AM, 10, FALSE), 1)</f>
        <v>3.3726521384216794E-4</v>
      </c>
      <c r="Y12" s="7">
        <f>$B12 * IFERROR(VLOOKUP("industry|SO2|Respiratory hospital admissions", US_national_yearly!$D:$AM, 33, FALSE) / VLOOKUP("industry|SO2|Respiratory hospital admissions", US_national_yearly!$D:$AM, 10, FALSE), 1)</f>
        <v>3.3850320217060473E-4</v>
      </c>
      <c r="Z12" s="7">
        <f>$B12 * IFERROR(VLOOKUP("industry|SO2|Respiratory hospital admissions", US_national_yearly!$D:$AM, 34, FALSE) / VLOOKUP("industry|SO2|Respiratory hospital admissions", US_national_yearly!$D:$AM, 10, FALSE), 1)</f>
        <v>3.3974119049904152E-4</v>
      </c>
      <c r="AA12" s="7">
        <f>$B12 * IFERROR(VLOOKUP("industry|SO2|Respiratory hospital admissions", US_national_yearly!$D:$AM, 35, FALSE) / VLOOKUP("industry|SO2|Respiratory hospital admissions", US_national_yearly!$D:$AM, 10, FALSE), 1)</f>
        <v>3.4097917882747826E-4</v>
      </c>
      <c r="AB12" s="7">
        <f>$B12 * IFERROR(VLOOKUP("industry|SO2|Respiratory hospital admissions", US_national_yearly!$D:$AM, 36, FALSE) / VLOOKUP("industry|SO2|Respiratory hospital admissions", US_national_yearly!$D:$AM, 10, FALSE), 1)</f>
        <v>3.4221716715591505E-4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1.3613569929789501E-3</v>
      </c>
      <c r="C13" s="7">
        <f>$B13 * IFERROR(VLOOKUP("industry|SO2|Non-fatal heart attacks", US_national_yearly!$D:$AM, 11, FALSE) / VLOOKUP("industry|SO2|Non-fatal heart attacks", US_national_yearly!$D:$AM, 10, FALSE), 1)</f>
        <v>1.4013213292918376E-3</v>
      </c>
      <c r="D13" s="7">
        <f>$B13 * IFERROR(VLOOKUP("industry|SO2|Non-fatal heart attacks", US_national_yearly!$D:$AM, 12, FALSE) / VLOOKUP("industry|SO2|Non-fatal heart attacks", US_national_yearly!$D:$AM, 10, FALSE), 1)</f>
        <v>1.441285665604725E-3</v>
      </c>
      <c r="E13" s="7">
        <f>$B13 * IFERROR(VLOOKUP("industry|SO2|Non-fatal heart attacks", US_national_yearly!$D:$AM, 13, FALSE) / VLOOKUP("industry|SO2|Non-fatal heart attacks", US_national_yearly!$D:$AM, 10, FALSE), 1)</f>
        <v>1.481250001917612E-3</v>
      </c>
      <c r="F13" s="7">
        <f>$B13 * IFERROR(VLOOKUP("industry|SO2|Non-fatal heart attacks", US_national_yearly!$D:$AM, 14, FALSE) / VLOOKUP("industry|SO2|Non-fatal heart attacks", US_national_yearly!$D:$AM, 10, FALSE), 1)</f>
        <v>1.5212143382304997E-3</v>
      </c>
      <c r="G13" s="7">
        <f>$B13 * IFERROR(VLOOKUP("industry|SO2|Non-fatal heart attacks", US_national_yearly!$D:$AM, 15, FALSE) / VLOOKUP("industry|SO2|Non-fatal heart attacks", US_national_yearly!$D:$AM, 10, FALSE), 1)</f>
        <v>1.558929476176536E-3</v>
      </c>
      <c r="H13" s="7">
        <f>$B13 * IFERROR(VLOOKUP("industry|SO2|Non-fatal heart attacks", US_national_yearly!$D:$AM, 16, FALSE) / VLOOKUP("industry|SO2|Non-fatal heart attacks", US_national_yearly!$D:$AM, 10, FALSE), 1)</f>
        <v>1.5966446141225724E-3</v>
      </c>
      <c r="I13" s="7">
        <f>$B13 * IFERROR(VLOOKUP("industry|SO2|Non-fatal heart attacks", US_national_yearly!$D:$AM, 17, FALSE) / VLOOKUP("industry|SO2|Non-fatal heart attacks", US_national_yearly!$D:$AM, 10, FALSE), 1)</f>
        <v>1.6270495435729412E-3</v>
      </c>
      <c r="J13" s="7">
        <f>$B13 * IFERROR(VLOOKUP("industry|SO2|Non-fatal heart attacks", US_national_yearly!$D:$AM, 18, FALSE) / VLOOKUP("industry|SO2|Non-fatal heart attacks", US_national_yearly!$D:$AM, 10, FALSE), 1)</f>
        <v>1.6574544730233107E-3</v>
      </c>
      <c r="K13" s="7">
        <f>$B13 * IFERROR(VLOOKUP("industry|SO2|Non-fatal heart attacks", US_national_yearly!$D:$AM, 19, FALSE) / VLOOKUP("industry|SO2|Non-fatal heart attacks", US_national_yearly!$D:$AM, 10, FALSE), 1)</f>
        <v>1.6878594024736799E-3</v>
      </c>
      <c r="L13" s="7">
        <f>$B13 * IFERROR(VLOOKUP("industry|SO2|Non-fatal heart attacks", US_national_yearly!$D:$AM, 20, FALSE) / VLOOKUP("industry|SO2|Non-fatal heart attacks", US_national_yearly!$D:$AM, 10, FALSE), 1)</f>
        <v>1.718264331924049E-3</v>
      </c>
      <c r="M13" s="7">
        <f>$B13 * IFERROR(VLOOKUP("industry|SO2|Non-fatal heart attacks", US_national_yearly!$D:$AM, 21, FALSE) / VLOOKUP("industry|SO2|Non-fatal heart attacks", US_national_yearly!$D:$AM, 10, FALSE), 1)</f>
        <v>1.748669261374418E-3</v>
      </c>
      <c r="N13" s="7">
        <f>$B13 * IFERROR(VLOOKUP("industry|SO2|Non-fatal heart attacks", US_national_yearly!$D:$AM, 22, FALSE) / VLOOKUP("industry|SO2|Non-fatal heart attacks", US_national_yearly!$D:$AM, 10, FALSE), 1)</f>
        <v>1.7684219233959522E-3</v>
      </c>
      <c r="O13" s="7">
        <f>$B13 * IFERROR(VLOOKUP("industry|SO2|Non-fatal heart attacks", US_national_yearly!$D:$AM, 23, FALSE) / VLOOKUP("industry|SO2|Non-fatal heart attacks", US_national_yearly!$D:$AM, 10, FALSE), 1)</f>
        <v>1.7881745854174866E-3</v>
      </c>
      <c r="P13" s="7">
        <f>$B13 * IFERROR(VLOOKUP("industry|SO2|Non-fatal heart attacks", US_national_yearly!$D:$AM, 24, FALSE) / VLOOKUP("industry|SO2|Non-fatal heart attacks", US_national_yearly!$D:$AM, 10, FALSE), 1)</f>
        <v>1.8079272474390209E-3</v>
      </c>
      <c r="Q13" s="7">
        <f>$B13 * IFERROR(VLOOKUP("industry|SO2|Non-fatal heart attacks", US_national_yearly!$D:$AM, 25, FALSE) / VLOOKUP("industry|SO2|Non-fatal heart attacks", US_national_yearly!$D:$AM, 10, FALSE), 1)</f>
        <v>1.8276799094605548E-3</v>
      </c>
      <c r="R13" s="7">
        <f>$B13 * IFERROR(VLOOKUP("industry|SO2|Non-fatal heart attacks", US_national_yearly!$D:$AM, 26, FALSE) / VLOOKUP("industry|SO2|Non-fatal heart attacks", US_national_yearly!$D:$AM, 10, FALSE), 1)</f>
        <v>1.8474325714820891E-3</v>
      </c>
      <c r="S13" s="7">
        <f>$B13 * IFERROR(VLOOKUP("industry|SO2|Non-fatal heart attacks", US_national_yearly!$D:$AM, 27, FALSE) / VLOOKUP("industry|SO2|Non-fatal heart attacks", US_national_yearly!$D:$AM, 10, FALSE), 1)</f>
        <v>1.8578069599985455E-3</v>
      </c>
      <c r="T13" s="7">
        <f>$B13 * IFERROR(VLOOKUP("industry|SO2|Non-fatal heart attacks", US_national_yearly!$D:$AM, 28, FALSE) / VLOOKUP("industry|SO2|Non-fatal heart attacks", US_national_yearly!$D:$AM, 10, FALSE), 1)</f>
        <v>1.868181348515002E-3</v>
      </c>
      <c r="U13" s="7">
        <f>$B13 * IFERROR(VLOOKUP("industry|SO2|Non-fatal heart attacks", US_national_yearly!$D:$AM, 29, FALSE) / VLOOKUP("industry|SO2|Non-fatal heart attacks", US_national_yearly!$D:$AM, 10, FALSE), 1)</f>
        <v>1.8785557370314585E-3</v>
      </c>
      <c r="V13" s="7">
        <f>$B13 * IFERROR(VLOOKUP("industry|SO2|Non-fatal heart attacks", US_national_yearly!$D:$AM, 30, FALSE) / VLOOKUP("industry|SO2|Non-fatal heart attacks", US_national_yearly!$D:$AM, 10, FALSE), 1)</f>
        <v>1.888930125547915E-3</v>
      </c>
      <c r="W13" s="7">
        <f>$B13 * IFERROR(VLOOKUP("industry|SO2|Non-fatal heart attacks", US_national_yearly!$D:$AM, 31, FALSE) / VLOOKUP("industry|SO2|Non-fatal heart attacks", US_national_yearly!$D:$AM, 10, FALSE), 1)</f>
        <v>1.8993045140643715E-3</v>
      </c>
      <c r="X13" s="7">
        <f>$B13 * IFERROR(VLOOKUP("industry|SO2|Non-fatal heart attacks", US_national_yearly!$D:$AM, 32, FALSE) / VLOOKUP("industry|SO2|Non-fatal heart attacks", US_national_yearly!$D:$AM, 10, FALSE), 1)</f>
        <v>1.9071835627678738E-3</v>
      </c>
      <c r="Y13" s="7">
        <f>$B13 * IFERROR(VLOOKUP("industry|SO2|Non-fatal heart attacks", US_national_yearly!$D:$AM, 33, FALSE) / VLOOKUP("industry|SO2|Non-fatal heart attacks", US_national_yearly!$D:$AM, 10, FALSE), 1)</f>
        <v>1.9150626114713758E-3</v>
      </c>
      <c r="Z13" s="7">
        <f>$B13 * IFERROR(VLOOKUP("industry|SO2|Non-fatal heart attacks", US_national_yearly!$D:$AM, 34, FALSE) / VLOOKUP("industry|SO2|Non-fatal heart attacks", US_national_yearly!$D:$AM, 10, FALSE), 1)</f>
        <v>1.9229416601748781E-3</v>
      </c>
      <c r="AA13" s="7">
        <f>$B13 * IFERROR(VLOOKUP("industry|SO2|Non-fatal heart attacks", US_national_yearly!$D:$AM, 35, FALSE) / VLOOKUP("industry|SO2|Non-fatal heart attacks", US_national_yearly!$D:$AM, 10, FALSE), 1)</f>
        <v>1.9308207088783807E-3</v>
      </c>
      <c r="AB13" s="7">
        <f>$B13 * IFERROR(VLOOKUP("industry|SO2|Non-fatal heart attacks", US_national_yearly!$D:$AM, 36, FALSE) / VLOOKUP("industry|SO2|Non-fatal heart attacks", US_national_yearly!$D:$AM, 10, FALSE), 1)</f>
        <v>1.9386997575818828E-3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1.1682676831323182</v>
      </c>
      <c r="C14" s="7">
        <f>$B14 * IFERROR(VLOOKUP("industry|SO2|Minor restricted activity days", US_national_yearly!$D:$AM, 11, FALSE) / VLOOKUP("industry|SO2|Minor restricted activity days", US_national_yearly!$D:$AM, 10, FALSE), 1)</f>
        <v>1.1711899751174366</v>
      </c>
      <c r="D14" s="7">
        <f>$B14 * IFERROR(VLOOKUP("industry|SO2|Minor restricted activity days", US_national_yearly!$D:$AM, 12, FALSE) / VLOOKUP("industry|SO2|Minor restricted activity days", US_national_yearly!$D:$AM, 10, FALSE), 1)</f>
        <v>1.1741122671025546</v>
      </c>
      <c r="E14" s="7">
        <f>$B14 * IFERROR(VLOOKUP("industry|SO2|Minor restricted activity days", US_national_yearly!$D:$AM, 13, FALSE) / VLOOKUP("industry|SO2|Minor restricted activity days", US_national_yearly!$D:$AM, 10, FALSE), 1)</f>
        <v>1.177034559087673</v>
      </c>
      <c r="F14" s="7">
        <f>$B14 * IFERROR(VLOOKUP("industry|SO2|Minor restricted activity days", US_national_yearly!$D:$AM, 14, FALSE) / VLOOKUP("industry|SO2|Minor restricted activity days", US_national_yearly!$D:$AM, 10, FALSE), 1)</f>
        <v>1.1799568510727911</v>
      </c>
      <c r="G14" s="7">
        <f>$B14 * IFERROR(VLOOKUP("industry|SO2|Minor restricted activity days", US_national_yearly!$D:$AM, 15, FALSE) / VLOOKUP("industry|SO2|Minor restricted activity days", US_national_yearly!$D:$AM, 10, FALSE), 1)</f>
        <v>1.1842558210401741</v>
      </c>
      <c r="H14" s="7">
        <f>$B14 * IFERROR(VLOOKUP("industry|SO2|Minor restricted activity days", US_national_yearly!$D:$AM, 16, FALSE) / VLOOKUP("industry|SO2|Minor restricted activity days", US_national_yearly!$D:$AM, 10, FALSE), 1)</f>
        <v>1.1885547910075569</v>
      </c>
      <c r="I14" s="7">
        <f>$B14 * IFERROR(VLOOKUP("industry|SO2|Minor restricted activity days", US_national_yearly!$D:$AM, 17, FALSE) / VLOOKUP("industry|SO2|Minor restricted activity days", US_national_yearly!$D:$AM, 10, FALSE), 1)</f>
        <v>1.1958858351423169</v>
      </c>
      <c r="J14" s="7">
        <f>$B14 * IFERROR(VLOOKUP("industry|SO2|Minor restricted activity days", US_national_yearly!$D:$AM, 18, FALSE) / VLOOKUP("industry|SO2|Minor restricted activity days", US_national_yearly!$D:$AM, 10, FALSE), 1)</f>
        <v>1.2032168792770772</v>
      </c>
      <c r="K14" s="7">
        <f>$B14 * IFERROR(VLOOKUP("industry|SO2|Minor restricted activity days", US_national_yearly!$D:$AM, 19, FALSE) / VLOOKUP("industry|SO2|Minor restricted activity days", US_national_yearly!$D:$AM, 10, FALSE), 1)</f>
        <v>1.2105479234118375</v>
      </c>
      <c r="L14" s="7">
        <f>$B14 * IFERROR(VLOOKUP("industry|SO2|Minor restricted activity days", US_national_yearly!$D:$AM, 20, FALSE) / VLOOKUP("industry|SO2|Minor restricted activity days", US_national_yearly!$D:$AM, 10, FALSE), 1)</f>
        <v>1.2178789675465977</v>
      </c>
      <c r="M14" s="7">
        <f>$B14 * IFERROR(VLOOKUP("industry|SO2|Minor restricted activity days", US_national_yearly!$D:$AM, 21, FALSE) / VLOOKUP("industry|SO2|Minor restricted activity days", US_national_yearly!$D:$AM, 10, FALSE), 1)</f>
        <v>1.225210011681358</v>
      </c>
      <c r="N14" s="7">
        <f>$B14 * IFERROR(VLOOKUP("industry|SO2|Minor restricted activity days", US_national_yearly!$D:$AM, 22, FALSE) / VLOOKUP("industry|SO2|Minor restricted activity days", US_national_yearly!$D:$AM, 10, FALSE), 1)</f>
        <v>1.2352617548743996</v>
      </c>
      <c r="O14" s="7">
        <f>$B14 * IFERROR(VLOOKUP("industry|SO2|Minor restricted activity days", US_national_yearly!$D:$AM, 23, FALSE) / VLOOKUP("industry|SO2|Minor restricted activity days", US_national_yearly!$D:$AM, 10, FALSE), 1)</f>
        <v>1.2453134980674412</v>
      </c>
      <c r="P14" s="7">
        <f>$B14 * IFERROR(VLOOKUP("industry|SO2|Minor restricted activity days", US_national_yearly!$D:$AM, 24, FALSE) / VLOOKUP("industry|SO2|Minor restricted activity days", US_national_yearly!$D:$AM, 10, FALSE), 1)</f>
        <v>1.255365241260483</v>
      </c>
      <c r="Q14" s="7">
        <f>$B14 * IFERROR(VLOOKUP("industry|SO2|Minor restricted activity days", US_national_yearly!$D:$AM, 25, FALSE) / VLOOKUP("industry|SO2|Minor restricted activity days", US_national_yearly!$D:$AM, 10, FALSE), 1)</f>
        <v>1.265416984453525</v>
      </c>
      <c r="R14" s="7">
        <f>$B14 * IFERROR(VLOOKUP("industry|SO2|Minor restricted activity days", US_national_yearly!$D:$AM, 26, FALSE) / VLOOKUP("industry|SO2|Minor restricted activity days", US_national_yearly!$D:$AM, 10, FALSE), 1)</f>
        <v>1.2754687276465666</v>
      </c>
      <c r="S14" s="7">
        <f>$B14 * IFERROR(VLOOKUP("industry|SO2|Minor restricted activity days", US_national_yearly!$D:$AM, 27, FALSE) / VLOOKUP("industry|SO2|Minor restricted activity days", US_national_yearly!$D:$AM, 10, FALSE), 1)</f>
        <v>1.2857273433737892</v>
      </c>
      <c r="T14" s="7">
        <f>$B14 * IFERROR(VLOOKUP("industry|SO2|Minor restricted activity days", US_national_yearly!$D:$AM, 28, FALSE) / VLOOKUP("industry|SO2|Minor restricted activity days", US_national_yearly!$D:$AM, 10, FALSE), 1)</f>
        <v>1.2959859591010119</v>
      </c>
      <c r="U14" s="7">
        <f>$B14 * IFERROR(VLOOKUP("industry|SO2|Minor restricted activity days", US_national_yearly!$D:$AM, 29, FALSE) / VLOOKUP("industry|SO2|Minor restricted activity days", US_national_yearly!$D:$AM, 10, FALSE), 1)</f>
        <v>1.3062445748282345</v>
      </c>
      <c r="V14" s="7">
        <f>$B14 * IFERROR(VLOOKUP("industry|SO2|Minor restricted activity days", US_national_yearly!$D:$AM, 30, FALSE) / VLOOKUP("industry|SO2|Minor restricted activity days", US_national_yearly!$D:$AM, 10, FALSE), 1)</f>
        <v>1.3165031905554574</v>
      </c>
      <c r="W14" s="7">
        <f>$B14 * IFERROR(VLOOKUP("industry|SO2|Minor restricted activity days", US_national_yearly!$D:$AM, 31, FALSE) / VLOOKUP("industry|SO2|Minor restricted activity days", US_national_yearly!$D:$AM, 10, FALSE), 1)</f>
        <v>1.32676180628268</v>
      </c>
      <c r="X14" s="7">
        <f>$B14 * IFERROR(VLOOKUP("industry|SO2|Minor restricted activity days", US_national_yearly!$D:$AM, 32, FALSE) / VLOOKUP("industry|SO2|Minor restricted activity days", US_national_yearly!$D:$AM, 10, FALSE), 1)</f>
        <v>1.335782126124754</v>
      </c>
      <c r="Y14" s="7">
        <f>$B14 * IFERROR(VLOOKUP("industry|SO2|Minor restricted activity days", US_national_yearly!$D:$AM, 33, FALSE) / VLOOKUP("industry|SO2|Minor restricted activity days", US_national_yearly!$D:$AM, 10, FALSE), 1)</f>
        <v>1.3448024459668275</v>
      </c>
      <c r="Z14" s="7">
        <f>$B14 * IFERROR(VLOOKUP("industry|SO2|Minor restricted activity days", US_national_yearly!$D:$AM, 34, FALSE) / VLOOKUP("industry|SO2|Minor restricted activity days", US_national_yearly!$D:$AM, 10, FALSE), 1)</f>
        <v>1.3538227658089013</v>
      </c>
      <c r="AA14" s="7">
        <f>$B14 * IFERROR(VLOOKUP("industry|SO2|Minor restricted activity days", US_national_yearly!$D:$AM, 35, FALSE) / VLOOKUP("industry|SO2|Minor restricted activity days", US_national_yearly!$D:$AM, 10, FALSE), 1)</f>
        <v>1.362843085650975</v>
      </c>
      <c r="AB14" s="7">
        <f>$B14 * IFERROR(VLOOKUP("industry|SO2|Minor restricted activity days", US_national_yearly!$D:$AM, 36, FALSE) / VLOOKUP("industry|SO2|Minor restricted activity days", US_national_yearly!$D:$AM, 10, FALSE), 1)</f>
        <v>1.371863405493049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0.19611900050560419</v>
      </c>
      <c r="C15" s="7">
        <f>$B15 * IFERROR(VLOOKUP("industry|SO2|Work loss days", US_national_yearly!$D:$AM, 11, FALSE) / VLOOKUP("industry|SO2|Work loss days", US_national_yearly!$D:$AM, 10, FALSE), 1)</f>
        <v>0.19674969705431924</v>
      </c>
      <c r="D15" s="7">
        <f>$B15 * IFERROR(VLOOKUP("industry|SO2|Work loss days", US_national_yearly!$D:$AM, 12, FALSE) / VLOOKUP("industry|SO2|Work loss days", US_national_yearly!$D:$AM, 10, FALSE), 1)</f>
        <v>0.19738039360303442</v>
      </c>
      <c r="E15" s="7">
        <f>$B15 * IFERROR(VLOOKUP("industry|SO2|Work loss days", US_national_yearly!$D:$AM, 13, FALSE) / VLOOKUP("industry|SO2|Work loss days", US_national_yearly!$D:$AM, 10, FALSE), 1)</f>
        <v>0.1980110901517495</v>
      </c>
      <c r="F15" s="7">
        <f>$B15 * IFERROR(VLOOKUP("industry|SO2|Work loss days", US_national_yearly!$D:$AM, 14, FALSE) / VLOOKUP("industry|SO2|Work loss days", US_national_yearly!$D:$AM, 10, FALSE), 1)</f>
        <v>0.19864178670046465</v>
      </c>
      <c r="G15" s="7">
        <f>$B15 * IFERROR(VLOOKUP("industry|SO2|Work loss days", US_national_yearly!$D:$AM, 15, FALSE) / VLOOKUP("industry|SO2|Work loss days", US_national_yearly!$D:$AM, 10, FALSE), 1)</f>
        <v>0.19946501613484352</v>
      </c>
      <c r="H15" s="7">
        <f>$B15 * IFERROR(VLOOKUP("industry|SO2|Work loss days", US_national_yearly!$D:$AM, 16, FALSE) / VLOOKUP("industry|SO2|Work loss days", US_national_yearly!$D:$AM, 10, FALSE), 1)</f>
        <v>0.20028824556922242</v>
      </c>
      <c r="I15" s="7">
        <f>$B15 * IFERROR(VLOOKUP("industry|SO2|Work loss days", US_national_yearly!$D:$AM, 17, FALSE) / VLOOKUP("industry|SO2|Work loss days", US_national_yearly!$D:$AM, 10, FALSE), 1)</f>
        <v>0.20149157502786269</v>
      </c>
      <c r="J15" s="7">
        <f>$B15 * IFERROR(VLOOKUP("industry|SO2|Work loss days", US_national_yearly!$D:$AM, 18, FALSE) / VLOOKUP("industry|SO2|Work loss days", US_national_yearly!$D:$AM, 10, FALSE), 1)</f>
        <v>0.20269490448650293</v>
      </c>
      <c r="K15" s="7">
        <f>$B15 * IFERROR(VLOOKUP("industry|SO2|Work loss days", US_national_yearly!$D:$AM, 19, FALSE) / VLOOKUP("industry|SO2|Work loss days", US_national_yearly!$D:$AM, 10, FALSE), 1)</f>
        <v>0.20389823394514314</v>
      </c>
      <c r="L15" s="7">
        <f>$B15 * IFERROR(VLOOKUP("industry|SO2|Work loss days", US_national_yearly!$D:$AM, 20, FALSE) / VLOOKUP("industry|SO2|Work loss days", US_national_yearly!$D:$AM, 10, FALSE), 1)</f>
        <v>0.20510156340378341</v>
      </c>
      <c r="M15" s="7">
        <f>$B15 * IFERROR(VLOOKUP("industry|SO2|Work loss days", US_national_yearly!$D:$AM, 21, FALSE) / VLOOKUP("industry|SO2|Work loss days", US_national_yearly!$D:$AM, 10, FALSE), 1)</f>
        <v>0.20630489286242365</v>
      </c>
      <c r="N15" s="7">
        <f>$B15 * IFERROR(VLOOKUP("industry|SO2|Work loss days", US_national_yearly!$D:$AM, 22, FALSE) / VLOOKUP("industry|SO2|Work loss days", US_national_yearly!$D:$AM, 10, FALSE), 1)</f>
        <v>0.20781730083857461</v>
      </c>
      <c r="O15" s="7">
        <f>$B15 * IFERROR(VLOOKUP("industry|SO2|Work loss days", US_national_yearly!$D:$AM, 23, FALSE) / VLOOKUP("industry|SO2|Work loss days", US_national_yearly!$D:$AM, 10, FALSE), 1)</f>
        <v>0.20932970881472554</v>
      </c>
      <c r="P15" s="7">
        <f>$B15 * IFERROR(VLOOKUP("industry|SO2|Work loss days", US_national_yearly!$D:$AM, 24, FALSE) / VLOOKUP("industry|SO2|Work loss days", US_national_yearly!$D:$AM, 10, FALSE), 1)</f>
        <v>0.2108421167908765</v>
      </c>
      <c r="Q15" s="7">
        <f>$B15 * IFERROR(VLOOKUP("industry|SO2|Work loss days", US_national_yearly!$D:$AM, 25, FALSE) / VLOOKUP("industry|SO2|Work loss days", US_national_yearly!$D:$AM, 10, FALSE), 1)</f>
        <v>0.21235452476702743</v>
      </c>
      <c r="R15" s="7">
        <f>$B15 * IFERROR(VLOOKUP("industry|SO2|Work loss days", US_national_yearly!$D:$AM, 26, FALSE) / VLOOKUP("industry|SO2|Work loss days", US_national_yearly!$D:$AM, 10, FALSE), 1)</f>
        <v>0.21386693274317839</v>
      </c>
      <c r="S15" s="7">
        <f>$B15 * IFERROR(VLOOKUP("industry|SO2|Work loss days", US_national_yearly!$D:$AM, 27, FALSE) / VLOOKUP("industry|SO2|Work loss days", US_national_yearly!$D:$AM, 10, FALSE), 1)</f>
        <v>0.2155592549381968</v>
      </c>
      <c r="T15" s="7">
        <f>$B15 * IFERROR(VLOOKUP("industry|SO2|Work loss days", US_national_yearly!$D:$AM, 28, FALSE) / VLOOKUP("industry|SO2|Work loss days", US_national_yearly!$D:$AM, 10, FALSE), 1)</f>
        <v>0.21725157713321525</v>
      </c>
      <c r="U15" s="7">
        <f>$B15 * IFERROR(VLOOKUP("industry|SO2|Work loss days", US_national_yearly!$D:$AM, 29, FALSE) / VLOOKUP("industry|SO2|Work loss days", US_national_yearly!$D:$AM, 10, FALSE), 1)</f>
        <v>0.21894389932823374</v>
      </c>
      <c r="V15" s="7">
        <f>$B15 * IFERROR(VLOOKUP("industry|SO2|Work loss days", US_national_yearly!$D:$AM, 30, FALSE) / VLOOKUP("industry|SO2|Work loss days", US_national_yearly!$D:$AM, 10, FALSE), 1)</f>
        <v>0.22063622152325213</v>
      </c>
      <c r="W15" s="7">
        <f>$B15 * IFERROR(VLOOKUP("industry|SO2|Work loss days", US_national_yearly!$D:$AM, 31, FALSE) / VLOOKUP("industry|SO2|Work loss days", US_national_yearly!$D:$AM, 10, FALSE), 1)</f>
        <v>0.2223285437182706</v>
      </c>
      <c r="X15" s="7">
        <f>$B15 * IFERROR(VLOOKUP("industry|SO2|Work loss days", US_national_yearly!$D:$AM, 32, FALSE) / VLOOKUP("industry|SO2|Work loss days", US_national_yearly!$D:$AM, 10, FALSE), 1)</f>
        <v>0.22384854164116674</v>
      </c>
      <c r="Y15" s="7">
        <f>$B15 * IFERROR(VLOOKUP("industry|SO2|Work loss days", US_national_yearly!$D:$AM, 33, FALSE) / VLOOKUP("industry|SO2|Work loss days", US_national_yearly!$D:$AM, 10, FALSE), 1)</f>
        <v>0.22536853956406294</v>
      </c>
      <c r="Z15" s="7">
        <f>$B15 * IFERROR(VLOOKUP("industry|SO2|Work loss days", US_national_yearly!$D:$AM, 34, FALSE) / VLOOKUP("industry|SO2|Work loss days", US_national_yearly!$D:$AM, 10, FALSE), 1)</f>
        <v>0.22688853748695906</v>
      </c>
      <c r="AA15" s="7">
        <f>$B15 * IFERROR(VLOOKUP("industry|SO2|Work loss days", US_national_yearly!$D:$AM, 35, FALSE) / VLOOKUP("industry|SO2|Work loss days", US_national_yearly!$D:$AM, 10, FALSE), 1)</f>
        <v>0.22840853540985526</v>
      </c>
      <c r="AB15" s="7">
        <f>$B15 * IFERROR(VLOOKUP("industry|SO2|Work loss days", US_national_yearly!$D:$AM, 36, FALSE) / VLOOKUP("industry|SO2|Work loss days", US_national_yearly!$D:$AM, 10, FALSE), 1)</f>
        <v>0.2299285333327514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3.091435240425535E-4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3.1849115753053561E-4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3.2783879101851778E-4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3.371864245065E-4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3.4653405799448217E-4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3.5549246248226603E-4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3.6445086697004984E-4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3.7213749171279665E-4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3.7982411645554352E-4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3.8751074119829044E-4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3.9519736594103731E-4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4.0288399068378407E-4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4.0804828185320651E-4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4.1321257302262895E-4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4.1837686419205134E-4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4.2354115536147378E-4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4.2870544653089623E-4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4.3143612348993545E-4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4.3416680044897478E-4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4.36897477408014E-4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4.3962815436705333E-4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4.4235883132609256E-4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4.4420549295476396E-4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4.4605215458343525E-4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4.478988162121067E-4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4.4974547784077811E-4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4.5159213946944945E-4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3.8218885166438308E-5</v>
      </c>
      <c r="C2" s="7">
        <f>$B2 * IFERROR(VLOOKUP("LULUCF|PM25|Premature mortality", US_national_yearly!$D:$AM, 11, FALSE) / VLOOKUP("LULUCF|PM25|Premature mortality", US_national_yearly!$D:$AM, 10, FALSE), 1)</f>
        <v>3.8692715586345247E-5</v>
      </c>
      <c r="D2" s="7">
        <f>$B2 * IFERROR(VLOOKUP("LULUCF|PM25|Premature mortality", US_national_yearly!$D:$AM, 12, FALSE) / VLOOKUP("LULUCF|PM25|Premature mortality", US_national_yearly!$D:$AM, 10, FALSE), 1)</f>
        <v>3.9166546006252178E-5</v>
      </c>
      <c r="E2" s="7">
        <f>$B2 * IFERROR(VLOOKUP("LULUCF|PM25|Premature mortality", US_national_yearly!$D:$AM, 13, FALSE) / VLOOKUP("LULUCF|PM25|Premature mortality", US_national_yearly!$D:$AM, 10, FALSE), 1)</f>
        <v>3.964037642615911E-5</v>
      </c>
      <c r="F2" s="7">
        <f>$B2 * IFERROR(VLOOKUP("LULUCF|PM25|Premature mortality", US_national_yearly!$D:$AM, 14, FALSE) / VLOOKUP("LULUCF|PM25|Premature mortality", US_national_yearly!$D:$AM, 10, FALSE), 1)</f>
        <v>4.0114206846066035E-5</v>
      </c>
      <c r="G2" s="7">
        <f>$B2 * IFERROR(VLOOKUP("LULUCF|PM25|Premature mortality", US_national_yearly!$D:$AM, 15, FALSE) / VLOOKUP("LULUCF|PM25|Premature mortality", US_national_yearly!$D:$AM, 10, FALSE), 1)</f>
        <v>4.1036988015290355E-5</v>
      </c>
      <c r="H2" s="7">
        <f>$B2 * IFERROR(VLOOKUP("LULUCF|PM25|Premature mortality", US_national_yearly!$D:$AM, 16, FALSE) / VLOOKUP("LULUCF|PM25|Premature mortality", US_national_yearly!$D:$AM, 10, FALSE), 1)</f>
        <v>4.1959769184514668E-5</v>
      </c>
      <c r="I2" s="7">
        <f>$B2 * IFERROR(VLOOKUP("LULUCF|PM25|Premature mortality", US_national_yearly!$D:$AM, 17, FALSE) / VLOOKUP("LULUCF|PM25|Premature mortality", US_national_yearly!$D:$AM, 10, FALSE), 1)</f>
        <v>4.2565890701059495E-5</v>
      </c>
      <c r="J2" s="7">
        <f>$B2 * IFERROR(VLOOKUP("LULUCF|PM25|Premature mortality", US_national_yearly!$D:$AM, 18, FALSE) / VLOOKUP("LULUCF|PM25|Premature mortality", US_national_yearly!$D:$AM, 10, FALSE), 1)</f>
        <v>4.3172012217604335E-5</v>
      </c>
      <c r="K2" s="7">
        <f>$B2 * IFERROR(VLOOKUP("LULUCF|PM25|Premature mortality", US_national_yearly!$D:$AM, 19, FALSE) / VLOOKUP("LULUCF|PM25|Premature mortality", US_national_yearly!$D:$AM, 10, FALSE), 1)</f>
        <v>4.3778133734149162E-5</v>
      </c>
      <c r="L2" s="7">
        <f>$B2 * IFERROR(VLOOKUP("LULUCF|PM25|Premature mortality", US_national_yearly!$D:$AM, 20, FALSE) / VLOOKUP("LULUCF|PM25|Premature mortality", US_national_yearly!$D:$AM, 10, FALSE), 1)</f>
        <v>4.4384255250694002E-5</v>
      </c>
      <c r="M2" s="7">
        <f>$B2 * IFERROR(VLOOKUP("LULUCF|PM25|Premature mortality", US_national_yearly!$D:$AM, 21, FALSE) / VLOOKUP("LULUCF|PM25|Premature mortality", US_national_yearly!$D:$AM, 10, FALSE), 1)</f>
        <v>4.4990376767238835E-5</v>
      </c>
      <c r="N2" s="7">
        <f>$B2 * IFERROR(VLOOKUP("LULUCF|PM25|Premature mortality", US_national_yearly!$D:$AM, 22, FALSE) / VLOOKUP("LULUCF|PM25|Premature mortality", US_national_yearly!$D:$AM, 10, FALSE), 1)</f>
        <v>4.5460991548814215E-5</v>
      </c>
      <c r="O2" s="7">
        <f>$B2 * IFERROR(VLOOKUP("LULUCF|PM25|Premature mortality", US_national_yearly!$D:$AM, 23, FALSE) / VLOOKUP("LULUCF|PM25|Premature mortality", US_national_yearly!$D:$AM, 10, FALSE), 1)</f>
        <v>4.5931606330389588E-5</v>
      </c>
      <c r="P2" s="7">
        <f>$B2 * IFERROR(VLOOKUP("LULUCF|PM25|Premature mortality", US_national_yearly!$D:$AM, 24, FALSE) / VLOOKUP("LULUCF|PM25|Premature mortality", US_national_yearly!$D:$AM, 10, FALSE), 1)</f>
        <v>4.6402221111964967E-5</v>
      </c>
      <c r="Q2" s="7">
        <f>$B2 * IFERROR(VLOOKUP("LULUCF|PM25|Premature mortality", US_national_yearly!$D:$AM, 25, FALSE) / VLOOKUP("LULUCF|PM25|Premature mortality", US_national_yearly!$D:$AM, 10, FALSE), 1)</f>
        <v>4.687283589354034E-5</v>
      </c>
      <c r="R2" s="7">
        <f>$B2 * IFERROR(VLOOKUP("LULUCF|PM25|Premature mortality", US_national_yearly!$D:$AM, 26, FALSE) / VLOOKUP("LULUCF|PM25|Premature mortality", US_national_yearly!$D:$AM, 10, FALSE), 1)</f>
        <v>4.7343450675115727E-5</v>
      </c>
      <c r="S2" s="7">
        <f>$B2 * IFERROR(VLOOKUP("LULUCF|PM25|Premature mortality", US_national_yearly!$D:$AM, 27, FALSE) / VLOOKUP("LULUCF|PM25|Premature mortality", US_national_yearly!$D:$AM, 10, FALSE), 1)</f>
        <v>4.759276840396316E-5</v>
      </c>
      <c r="T2" s="7">
        <f>$B2 * IFERROR(VLOOKUP("LULUCF|PM25|Premature mortality", US_national_yearly!$D:$AM, 28, FALSE) / VLOOKUP("LULUCF|PM25|Premature mortality", US_national_yearly!$D:$AM, 10, FALSE), 1)</f>
        <v>4.7842086132810581E-5</v>
      </c>
      <c r="U2" s="7">
        <f>$B2 * IFERROR(VLOOKUP("LULUCF|PM25|Premature mortality", US_national_yearly!$D:$AM, 29, FALSE) / VLOOKUP("LULUCF|PM25|Premature mortality", US_national_yearly!$D:$AM, 10, FALSE), 1)</f>
        <v>4.8091403861658001E-5</v>
      </c>
      <c r="V2" s="7">
        <f>$B2 * IFERROR(VLOOKUP("LULUCF|PM25|Premature mortality", US_national_yearly!$D:$AM, 30, FALSE) / VLOOKUP("LULUCF|PM25|Premature mortality", US_national_yearly!$D:$AM, 10, FALSE), 1)</f>
        <v>4.8340721590505428E-5</v>
      </c>
      <c r="W2" s="7">
        <f>$B2 * IFERROR(VLOOKUP("LULUCF|PM25|Premature mortality", US_national_yearly!$D:$AM, 31, FALSE) / VLOOKUP("LULUCF|PM25|Premature mortality", US_national_yearly!$D:$AM, 10, FALSE), 1)</f>
        <v>4.8590039319352848E-5</v>
      </c>
      <c r="X2" s="7">
        <f>$B2 * IFERROR(VLOOKUP("LULUCF|PM25|Premature mortality", US_national_yearly!$D:$AM, 32, FALSE) / VLOOKUP("LULUCF|PM25|Premature mortality", US_national_yearly!$D:$AM, 10, FALSE), 1)</f>
        <v>4.863363445284806E-5</v>
      </c>
      <c r="Y2" s="7">
        <f>$B2 * IFERROR(VLOOKUP("LULUCF|PM25|Premature mortality", US_national_yearly!$D:$AM, 33, FALSE) / VLOOKUP("LULUCF|PM25|Premature mortality", US_national_yearly!$D:$AM, 10, FALSE), 1)</f>
        <v>4.8677229586343272E-5</v>
      </c>
      <c r="Z2" s="7">
        <f>$B2 * IFERROR(VLOOKUP("LULUCF|PM25|Premature mortality", US_national_yearly!$D:$AM, 34, FALSE) / VLOOKUP("LULUCF|PM25|Premature mortality", US_national_yearly!$D:$AM, 10, FALSE), 1)</f>
        <v>4.8720824719838484E-5</v>
      </c>
      <c r="AA2" s="7">
        <f>$B2 * IFERROR(VLOOKUP("LULUCF|PM25|Premature mortality", US_national_yearly!$D:$AM, 35, FALSE) / VLOOKUP("LULUCF|PM25|Premature mortality", US_national_yearly!$D:$AM, 10, FALSE), 1)</f>
        <v>4.8764419853333696E-5</v>
      </c>
      <c r="AB2" s="7">
        <f>$B2 * IFERROR(VLOOKUP("LULUCF|PM25|Premature mortality", US_national_yearly!$D:$AM, 36, FALSE) / VLOOKUP("LULUCF|PM25|Premature mortality", US_national_yearly!$D:$AM, 10, FALSE), 1)</f>
        <v>4.8808014986828907E-5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5.086112065590746E-8</v>
      </c>
      <c r="C3" s="7">
        <f>$B3 * IFERROR(VLOOKUP("LULUCF|PM25|Infant mortality", US_national_yearly!$D:$AM, 11, FALSE) / VLOOKUP("LULUCF|PM25|Infant mortality", US_national_yearly!$D:$AM, 10, FALSE), 1)</f>
        <v>5.0417658094891353E-8</v>
      </c>
      <c r="D3" s="7">
        <f>$B3 * IFERROR(VLOOKUP("LULUCF|PM25|Infant mortality", US_national_yearly!$D:$AM, 12, FALSE) / VLOOKUP("LULUCF|PM25|Infant mortality", US_national_yearly!$D:$AM, 10, FALSE), 1)</f>
        <v>4.9974195533875246E-8</v>
      </c>
      <c r="E3" s="7">
        <f>$B3 * IFERROR(VLOOKUP("LULUCF|PM25|Infant mortality", US_national_yearly!$D:$AM, 13, FALSE) / VLOOKUP("LULUCF|PM25|Infant mortality", US_national_yearly!$D:$AM, 10, FALSE), 1)</f>
        <v>4.9530732972859138E-8</v>
      </c>
      <c r="F3" s="7">
        <f>$B3 * IFERROR(VLOOKUP("LULUCF|PM25|Infant mortality", US_national_yearly!$D:$AM, 14, FALSE) / VLOOKUP("LULUCF|PM25|Infant mortality", US_national_yearly!$D:$AM, 10, FALSE), 1)</f>
        <v>4.9087270411843024E-8</v>
      </c>
      <c r="G3" s="7">
        <f>$B3 * IFERROR(VLOOKUP("LULUCF|PM25|Infant mortality", US_national_yearly!$D:$AM, 15, FALSE) / VLOOKUP("LULUCF|PM25|Infant mortality", US_national_yearly!$D:$AM, 10, FALSE), 1)</f>
        <v>3.2645660597988761E-8</v>
      </c>
      <c r="H3" s="7">
        <f>$B3 * IFERROR(VLOOKUP("LULUCF|PM25|Infant mortality", US_national_yearly!$D:$AM, 16, FALSE) / VLOOKUP("LULUCF|PM25|Infant mortality", US_national_yearly!$D:$AM, 10, FALSE), 1)</f>
        <v>1.6204050784134491E-8</v>
      </c>
      <c r="I3" s="7">
        <f>$B3 * IFERROR(VLOOKUP("LULUCF|PM25|Infant mortality", US_national_yearly!$D:$AM, 17, FALSE) / VLOOKUP("LULUCF|PM25|Infant mortality", US_national_yearly!$D:$AM, 10, FALSE), 1)</f>
        <v>1.6098130545555334E-8</v>
      </c>
      <c r="J3" s="7">
        <f>$B3 * IFERROR(VLOOKUP("LULUCF|PM25|Infant mortality", US_national_yearly!$D:$AM, 18, FALSE) / VLOOKUP("LULUCF|PM25|Infant mortality", US_national_yearly!$D:$AM, 10, FALSE), 1)</f>
        <v>1.5992210306976174E-8</v>
      </c>
      <c r="K3" s="7">
        <f>$B3 * IFERROR(VLOOKUP("LULUCF|PM25|Infant mortality", US_national_yearly!$D:$AM, 19, FALSE) / VLOOKUP("LULUCF|PM25|Infant mortality", US_national_yearly!$D:$AM, 10, FALSE), 1)</f>
        <v>1.5886290068397014E-8</v>
      </c>
      <c r="L3" s="7">
        <f>$B3 * IFERROR(VLOOKUP("LULUCF|PM25|Infant mortality", US_national_yearly!$D:$AM, 20, FALSE) / VLOOKUP("LULUCF|PM25|Infant mortality", US_national_yearly!$D:$AM, 10, FALSE), 1)</f>
        <v>1.5780369829817854E-8</v>
      </c>
      <c r="M3" s="7">
        <f>$B3 * IFERROR(VLOOKUP("LULUCF|PM25|Infant mortality", US_national_yearly!$D:$AM, 21, FALSE) / VLOOKUP("LULUCF|PM25|Infant mortality", US_national_yearly!$D:$AM, 10, FALSE), 1)</f>
        <v>1.5674449591238698E-8</v>
      </c>
      <c r="N3" s="7">
        <f>$B3 * IFERROR(VLOOKUP("LULUCF|PM25|Infant mortality", US_national_yearly!$D:$AM, 22, FALSE) / VLOOKUP("LULUCF|PM25|Infant mortality", US_national_yearly!$D:$AM, 10, FALSE), 1)</f>
        <v>1.5607919954895311E-8</v>
      </c>
      <c r="O3" s="7">
        <f>$B3 * IFERROR(VLOOKUP("LULUCF|PM25|Infant mortality", US_national_yearly!$D:$AM, 23, FALSE) / VLOOKUP("LULUCF|PM25|Infant mortality", US_national_yearly!$D:$AM, 10, FALSE), 1)</f>
        <v>1.5541390318551928E-8</v>
      </c>
      <c r="P3" s="7">
        <f>$B3 * IFERROR(VLOOKUP("LULUCF|PM25|Infant mortality", US_national_yearly!$D:$AM, 24, FALSE) / VLOOKUP("LULUCF|PM25|Infant mortality", US_national_yearly!$D:$AM, 10, FALSE), 1)</f>
        <v>1.5474860682208538E-8</v>
      </c>
      <c r="Q3" s="7">
        <f>$B3 * IFERROR(VLOOKUP("LULUCF|PM25|Infant mortality", US_national_yearly!$D:$AM, 25, FALSE) / VLOOKUP("LULUCF|PM25|Infant mortality", US_national_yearly!$D:$AM, 10, FALSE), 1)</f>
        <v>1.5408331045865154E-8</v>
      </c>
      <c r="R3" s="7">
        <f>$B3 * IFERROR(VLOOKUP("LULUCF|PM25|Infant mortality", US_national_yearly!$D:$AM, 26, FALSE) / VLOOKUP("LULUCF|PM25|Infant mortality", US_national_yearly!$D:$AM, 10, FALSE), 1)</f>
        <v>1.5341801409521768E-8</v>
      </c>
      <c r="S3" s="7">
        <f>$B3 * IFERROR(VLOOKUP("LULUCF|PM25|Infant mortality", US_national_yearly!$D:$AM, 27, FALSE) / VLOOKUP("LULUCF|PM25|Infant mortality", US_national_yearly!$D:$AM, 10, FALSE), 1)</f>
        <v>1.5258870857514963E-8</v>
      </c>
      <c r="T3" s="7">
        <f>$B3 * IFERROR(VLOOKUP("LULUCF|PM25|Infant mortality", US_national_yearly!$D:$AM, 28, FALSE) / VLOOKUP("LULUCF|PM25|Infant mortality", US_national_yearly!$D:$AM, 10, FALSE), 1)</f>
        <v>1.5175940305508158E-8</v>
      </c>
      <c r="U3" s="7">
        <f>$B3 * IFERROR(VLOOKUP("LULUCF|PM25|Infant mortality", US_national_yearly!$D:$AM, 29, FALSE) / VLOOKUP("LULUCF|PM25|Infant mortality", US_national_yearly!$D:$AM, 10, FALSE), 1)</f>
        <v>1.5093009753501357E-8</v>
      </c>
      <c r="V3" s="7">
        <f>$B3 * IFERROR(VLOOKUP("LULUCF|PM25|Infant mortality", US_national_yearly!$D:$AM, 30, FALSE) / VLOOKUP("LULUCF|PM25|Infant mortality", US_national_yearly!$D:$AM, 10, FALSE), 1)</f>
        <v>1.5010079201494555E-8</v>
      </c>
      <c r="W3" s="7">
        <f>$B3 * IFERROR(VLOOKUP("LULUCF|PM25|Infant mortality", US_national_yearly!$D:$AM, 31, FALSE) / VLOOKUP("LULUCF|PM25|Infant mortality", US_national_yearly!$D:$AM, 10, FALSE), 1)</f>
        <v>1.4927148649487747E-8</v>
      </c>
      <c r="X3" s="7">
        <f>$B3 * IFERROR(VLOOKUP("LULUCF|PM25|Infant mortality", US_national_yearly!$D:$AM, 32, FALSE) / VLOOKUP("LULUCF|PM25|Infant mortality", US_national_yearly!$D:$AM, 10, FALSE), 1)</f>
        <v>1.4837739091147556E-8</v>
      </c>
      <c r="Y3" s="7">
        <f>$B3 * IFERROR(VLOOKUP("LULUCF|PM25|Infant mortality", US_national_yearly!$D:$AM, 33, FALSE) / VLOOKUP("LULUCF|PM25|Infant mortality", US_national_yearly!$D:$AM, 10, FALSE), 1)</f>
        <v>1.4748329532807358E-8</v>
      </c>
      <c r="Z3" s="7">
        <f>$B3 * IFERROR(VLOOKUP("LULUCF|PM25|Infant mortality", US_national_yearly!$D:$AM, 34, FALSE) / VLOOKUP("LULUCF|PM25|Infant mortality", US_national_yearly!$D:$AM, 10, FALSE), 1)</f>
        <v>1.4658919974467165E-8</v>
      </c>
      <c r="AA3" s="7">
        <f>$B3 * IFERROR(VLOOKUP("LULUCF|PM25|Infant mortality", US_national_yearly!$D:$AM, 35, FALSE) / VLOOKUP("LULUCF|PM25|Infant mortality", US_national_yearly!$D:$AM, 10, FALSE), 1)</f>
        <v>1.4569510416126968E-8</v>
      </c>
      <c r="AB3" s="7">
        <f>$B3 * IFERROR(VLOOKUP("LULUCF|PM25|Infant mortality", US_national_yearly!$D:$AM, 36, FALSE) / VLOOKUP("LULUCF|PM25|Infant mortality", US_national_yearly!$D:$AM, 10, FALSE), 1)</f>
        <v>1.4480100857786775E-8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7.8597578252371015E-5</v>
      </c>
      <c r="C6" s="7">
        <f>$B6 * IFERROR(VLOOKUP("LULUCF|PM25|Asthma symptoms cough", US_national_yearly!$D:$AM, 11, FALSE) / VLOOKUP("LULUCF|PM25|Asthma symptoms cough", US_national_yearly!$D:$AM, 10, FALSE), 1)</f>
        <v>7.8597578252371015E-5</v>
      </c>
      <c r="D6" s="7">
        <f>$B6 * IFERROR(VLOOKUP("LULUCF|PM25|Asthma symptoms cough", US_national_yearly!$D:$AM, 12, FALSE) / VLOOKUP("LULUCF|PM25|Asthma symptoms cough", US_national_yearly!$D:$AM, 10, FALSE), 1)</f>
        <v>7.8597578252371015E-5</v>
      </c>
      <c r="E6" s="7">
        <f>$B6 * IFERROR(VLOOKUP("LULUCF|PM25|Asthma symptoms cough", US_national_yearly!$D:$AM, 13, FALSE) / VLOOKUP("LULUCF|PM25|Asthma symptoms cough", US_national_yearly!$D:$AM, 10, FALSE), 1)</f>
        <v>7.8597578252371015E-5</v>
      </c>
      <c r="F6" s="7">
        <f>$B6 * IFERROR(VLOOKUP("LULUCF|PM25|Asthma symptoms cough", US_national_yearly!$D:$AM, 14, FALSE) / VLOOKUP("LULUCF|PM25|Asthma symptoms cough", US_national_yearly!$D:$AM, 10, FALSE), 1)</f>
        <v>7.8597578252371015E-5</v>
      </c>
      <c r="G6" s="7">
        <f>$B6 * IFERROR(VLOOKUP("LULUCF|PM25|Asthma symptoms cough", US_national_yearly!$D:$AM, 15, FALSE) / VLOOKUP("LULUCF|PM25|Asthma symptoms cough", US_national_yearly!$D:$AM, 10, FALSE), 1)</f>
        <v>7.8597578252371015E-5</v>
      </c>
      <c r="H6" s="7">
        <f>$B6 * IFERROR(VLOOKUP("LULUCF|PM25|Asthma symptoms cough", US_national_yearly!$D:$AM, 16, FALSE) / VLOOKUP("LULUCF|PM25|Asthma symptoms cough", US_national_yearly!$D:$AM, 10, FALSE), 1)</f>
        <v>7.8597578252371015E-5</v>
      </c>
      <c r="I6" s="7">
        <f>$B6 * IFERROR(VLOOKUP("LULUCF|PM25|Asthma symptoms cough", US_national_yearly!$D:$AM, 17, FALSE) / VLOOKUP("LULUCF|PM25|Asthma symptoms cough", US_national_yearly!$D:$AM, 10, FALSE), 1)</f>
        <v>7.8597578252371015E-5</v>
      </c>
      <c r="J6" s="7">
        <f>$B6 * IFERROR(VLOOKUP("LULUCF|PM25|Asthma symptoms cough", US_national_yearly!$D:$AM, 18, FALSE) / VLOOKUP("LULUCF|PM25|Asthma symptoms cough", US_national_yearly!$D:$AM, 10, FALSE), 1)</f>
        <v>7.8597578252371015E-5</v>
      </c>
      <c r="K6" s="7">
        <f>$B6 * IFERROR(VLOOKUP("LULUCF|PM25|Asthma symptoms cough", US_national_yearly!$D:$AM, 19, FALSE) / VLOOKUP("LULUCF|PM25|Asthma symptoms cough", US_national_yearly!$D:$AM, 10, FALSE), 1)</f>
        <v>7.8597578252371015E-5</v>
      </c>
      <c r="L6" s="7">
        <f>$B6 * IFERROR(VLOOKUP("LULUCF|PM25|Asthma symptoms cough", US_national_yearly!$D:$AM, 20, FALSE) / VLOOKUP("LULUCF|PM25|Asthma symptoms cough", US_national_yearly!$D:$AM, 10, FALSE), 1)</f>
        <v>7.8597578252371015E-5</v>
      </c>
      <c r="M6" s="7">
        <f>$B6 * IFERROR(VLOOKUP("LULUCF|PM25|Asthma symptoms cough", US_national_yearly!$D:$AM, 21, FALSE) / VLOOKUP("LULUCF|PM25|Asthma symptoms cough", US_national_yearly!$D:$AM, 10, FALSE), 1)</f>
        <v>7.8597578252371015E-5</v>
      </c>
      <c r="N6" s="7">
        <f>$B6 * IFERROR(VLOOKUP("LULUCF|PM25|Asthma symptoms cough", US_national_yearly!$D:$AM, 22, FALSE) / VLOOKUP("LULUCF|PM25|Asthma symptoms cough", US_national_yearly!$D:$AM, 10, FALSE), 1)</f>
        <v>7.8597578252371015E-5</v>
      </c>
      <c r="O6" s="7">
        <f>$B6 * IFERROR(VLOOKUP("LULUCF|PM25|Asthma symptoms cough", US_national_yearly!$D:$AM, 23, FALSE) / VLOOKUP("LULUCF|PM25|Asthma symptoms cough", US_national_yearly!$D:$AM, 10, FALSE), 1)</f>
        <v>7.8597578252371015E-5</v>
      </c>
      <c r="P6" s="7">
        <f>$B6 * IFERROR(VLOOKUP("LULUCF|PM25|Asthma symptoms cough", US_national_yearly!$D:$AM, 24, FALSE) / VLOOKUP("LULUCF|PM25|Asthma symptoms cough", US_national_yearly!$D:$AM, 10, FALSE), 1)</f>
        <v>7.8597578252371015E-5</v>
      </c>
      <c r="Q6" s="7">
        <f>$B6 * IFERROR(VLOOKUP("LULUCF|PM25|Asthma symptoms cough", US_national_yearly!$D:$AM, 25, FALSE) / VLOOKUP("LULUCF|PM25|Asthma symptoms cough", US_national_yearly!$D:$AM, 10, FALSE), 1)</f>
        <v>7.8597578252371015E-5</v>
      </c>
      <c r="R6" s="7">
        <f>$B6 * IFERROR(VLOOKUP("LULUCF|PM25|Asthma symptoms cough", US_national_yearly!$D:$AM, 26, FALSE) / VLOOKUP("LULUCF|PM25|Asthma symptoms cough", US_national_yearly!$D:$AM, 10, FALSE), 1)</f>
        <v>7.8597578252371015E-5</v>
      </c>
      <c r="S6" s="7">
        <f>$B6 * IFERROR(VLOOKUP("LULUCF|PM25|Asthma symptoms cough", US_national_yearly!$D:$AM, 27, FALSE) / VLOOKUP("LULUCF|PM25|Asthma symptoms cough", US_national_yearly!$D:$AM, 10, FALSE), 1)</f>
        <v>7.8597578252371015E-5</v>
      </c>
      <c r="T6" s="7">
        <f>$B6 * IFERROR(VLOOKUP("LULUCF|PM25|Asthma symptoms cough", US_national_yearly!$D:$AM, 28, FALSE) / VLOOKUP("LULUCF|PM25|Asthma symptoms cough", US_national_yearly!$D:$AM, 10, FALSE), 1)</f>
        <v>7.8597578252371015E-5</v>
      </c>
      <c r="U6" s="7">
        <f>$B6 * IFERROR(VLOOKUP("LULUCF|PM25|Asthma symptoms cough", US_national_yearly!$D:$AM, 29, FALSE) / VLOOKUP("LULUCF|PM25|Asthma symptoms cough", US_national_yearly!$D:$AM, 10, FALSE), 1)</f>
        <v>7.8597578252371015E-5</v>
      </c>
      <c r="V6" s="7">
        <f>$B6 * IFERROR(VLOOKUP("LULUCF|PM25|Asthma symptoms cough", US_national_yearly!$D:$AM, 30, FALSE) / VLOOKUP("LULUCF|PM25|Asthma symptoms cough", US_national_yearly!$D:$AM, 10, FALSE), 1)</f>
        <v>7.8597578252371015E-5</v>
      </c>
      <c r="W6" s="7">
        <f>$B6 * IFERROR(VLOOKUP("LULUCF|PM25|Asthma symptoms cough", US_national_yearly!$D:$AM, 31, FALSE) / VLOOKUP("LULUCF|PM25|Asthma symptoms cough", US_national_yearly!$D:$AM, 10, FALSE), 1)</f>
        <v>7.8597578252371015E-5</v>
      </c>
      <c r="X6" s="7">
        <f>$B6 * IFERROR(VLOOKUP("LULUCF|PM25|Asthma symptoms cough", US_national_yearly!$D:$AM, 32, FALSE) / VLOOKUP("LULUCF|PM25|Asthma symptoms cough", US_national_yearly!$D:$AM, 10, FALSE), 1)</f>
        <v>7.8597578252371015E-5</v>
      </c>
      <c r="Y6" s="7">
        <f>$B6 * IFERROR(VLOOKUP("LULUCF|PM25|Asthma symptoms cough", US_national_yearly!$D:$AM, 33, FALSE) / VLOOKUP("LULUCF|PM25|Asthma symptoms cough", US_national_yearly!$D:$AM, 10, FALSE), 1)</f>
        <v>7.8597578252371015E-5</v>
      </c>
      <c r="Z6" s="7">
        <f>$B6 * IFERROR(VLOOKUP("LULUCF|PM25|Asthma symptoms cough", US_national_yearly!$D:$AM, 34, FALSE) / VLOOKUP("LULUCF|PM25|Asthma symptoms cough", US_national_yearly!$D:$AM, 10, FALSE), 1)</f>
        <v>7.8597578252371015E-5</v>
      </c>
      <c r="AA6" s="7">
        <f>$B6 * IFERROR(VLOOKUP("LULUCF|PM25|Asthma symptoms cough", US_national_yearly!$D:$AM, 35, FALSE) / VLOOKUP("LULUCF|PM25|Asthma symptoms cough", US_national_yearly!$D:$AM, 10, FALSE), 1)</f>
        <v>7.8597578252371015E-5</v>
      </c>
      <c r="AB6" s="7">
        <f>$B6 * IFERROR(VLOOKUP("LULUCF|PM25|Asthma symptoms cough", US_national_yearly!$D:$AM, 36, FALSE) / VLOOKUP("LULUCF|PM25|Asthma symptoms cough", US_national_yearly!$D:$AM, 10, FALSE), 1)</f>
        <v>7.8597578252371015E-5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1.0584316953981111E-4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1.0584316953981111E-4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1.0584316953981111E-4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1.0584316953981111E-4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1.0584316953981111E-4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1.0584316953981111E-4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1.0584316953981111E-4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1.0584316953981111E-4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1.0584316953981111E-4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1.0584316953981111E-4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1.0584316953981111E-4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1.0584316953981111E-4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1.0584316953981111E-4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1.0584316953981111E-4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1.0584316953981111E-4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1.0584316953981111E-4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1.0584316953981111E-4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1.0584316953981111E-4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1.0584316953981111E-4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1.0584316953981111E-4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1.0584316953981111E-4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1.0584316953981111E-4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1.0584316953981111E-4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1.0584316953981111E-4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1.0584316953981111E-4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1.0584316953981111E-4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1.0584316953981111E-4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1.617099761651636E-4</v>
      </c>
      <c r="C8" s="7">
        <f>$B8 * IFERROR(VLOOKUP("LULUCF|PM25|Asthma symptoms wheeze", US_national_yearly!$D:$AM, 11, FALSE) / VLOOKUP("LULUCF|PM25|Asthma symptoms wheeze", US_national_yearly!$D:$AM, 10, FALSE), 1)</f>
        <v>1.617099761651636E-4</v>
      </c>
      <c r="D8" s="7">
        <f>$B8 * IFERROR(VLOOKUP("LULUCF|PM25|Asthma symptoms wheeze", US_national_yearly!$D:$AM, 12, FALSE) / VLOOKUP("LULUCF|PM25|Asthma symptoms wheeze", US_national_yearly!$D:$AM, 10, FALSE), 1)</f>
        <v>1.617099761651636E-4</v>
      </c>
      <c r="E8" s="7">
        <f>$B8 * IFERROR(VLOOKUP("LULUCF|PM25|Asthma symptoms wheeze", US_national_yearly!$D:$AM, 13, FALSE) / VLOOKUP("LULUCF|PM25|Asthma symptoms wheeze", US_national_yearly!$D:$AM, 10, FALSE), 1)</f>
        <v>1.617099761651636E-4</v>
      </c>
      <c r="F8" s="7">
        <f>$B8 * IFERROR(VLOOKUP("LULUCF|PM25|Asthma symptoms wheeze", US_national_yearly!$D:$AM, 14, FALSE) / VLOOKUP("LULUCF|PM25|Asthma symptoms wheeze", US_national_yearly!$D:$AM, 10, FALSE), 1)</f>
        <v>1.617099761651636E-4</v>
      </c>
      <c r="G8" s="7">
        <f>$B8 * IFERROR(VLOOKUP("LULUCF|PM25|Asthma symptoms wheeze", US_national_yearly!$D:$AM, 15, FALSE) / VLOOKUP("LULUCF|PM25|Asthma symptoms wheeze", US_national_yearly!$D:$AM, 10, FALSE), 1)</f>
        <v>1.617099761651636E-4</v>
      </c>
      <c r="H8" s="7">
        <f>$B8 * IFERROR(VLOOKUP("LULUCF|PM25|Asthma symptoms wheeze", US_national_yearly!$D:$AM, 16, FALSE) / VLOOKUP("LULUCF|PM25|Asthma symptoms wheeze", US_national_yearly!$D:$AM, 10, FALSE), 1)</f>
        <v>1.617099761651636E-4</v>
      </c>
      <c r="I8" s="7">
        <f>$B8 * IFERROR(VLOOKUP("LULUCF|PM25|Asthma symptoms wheeze", US_national_yearly!$D:$AM, 17, FALSE) / VLOOKUP("LULUCF|PM25|Asthma symptoms wheeze", US_national_yearly!$D:$AM, 10, FALSE), 1)</f>
        <v>1.617099761651636E-4</v>
      </c>
      <c r="J8" s="7">
        <f>$B8 * IFERROR(VLOOKUP("LULUCF|PM25|Asthma symptoms wheeze", US_national_yearly!$D:$AM, 18, FALSE) / VLOOKUP("LULUCF|PM25|Asthma symptoms wheeze", US_national_yearly!$D:$AM, 10, FALSE), 1)</f>
        <v>1.617099761651636E-4</v>
      </c>
      <c r="K8" s="7">
        <f>$B8 * IFERROR(VLOOKUP("LULUCF|PM25|Asthma symptoms wheeze", US_national_yearly!$D:$AM, 19, FALSE) / VLOOKUP("LULUCF|PM25|Asthma symptoms wheeze", US_national_yearly!$D:$AM, 10, FALSE), 1)</f>
        <v>1.617099761651636E-4</v>
      </c>
      <c r="L8" s="7">
        <f>$B8 * IFERROR(VLOOKUP("LULUCF|PM25|Asthma symptoms wheeze", US_national_yearly!$D:$AM, 20, FALSE) / VLOOKUP("LULUCF|PM25|Asthma symptoms wheeze", US_national_yearly!$D:$AM, 10, FALSE), 1)</f>
        <v>1.617099761651636E-4</v>
      </c>
      <c r="M8" s="7">
        <f>$B8 * IFERROR(VLOOKUP("LULUCF|PM25|Asthma symptoms wheeze", US_national_yearly!$D:$AM, 21, FALSE) / VLOOKUP("LULUCF|PM25|Asthma symptoms wheeze", US_national_yearly!$D:$AM, 10, FALSE), 1)</f>
        <v>1.617099761651636E-4</v>
      </c>
      <c r="N8" s="7">
        <f>$B8 * IFERROR(VLOOKUP("LULUCF|PM25|Asthma symptoms wheeze", US_national_yearly!$D:$AM, 22, FALSE) / VLOOKUP("LULUCF|PM25|Asthma symptoms wheeze", US_national_yearly!$D:$AM, 10, FALSE), 1)</f>
        <v>1.617099761651636E-4</v>
      </c>
      <c r="O8" s="7">
        <f>$B8 * IFERROR(VLOOKUP("LULUCF|PM25|Asthma symptoms wheeze", US_national_yearly!$D:$AM, 23, FALSE) / VLOOKUP("LULUCF|PM25|Asthma symptoms wheeze", US_national_yearly!$D:$AM, 10, FALSE), 1)</f>
        <v>1.617099761651636E-4</v>
      </c>
      <c r="P8" s="7">
        <f>$B8 * IFERROR(VLOOKUP("LULUCF|PM25|Asthma symptoms wheeze", US_national_yearly!$D:$AM, 24, FALSE) / VLOOKUP("LULUCF|PM25|Asthma symptoms wheeze", US_national_yearly!$D:$AM, 10, FALSE), 1)</f>
        <v>1.617099761651636E-4</v>
      </c>
      <c r="Q8" s="7">
        <f>$B8 * IFERROR(VLOOKUP("LULUCF|PM25|Asthma symptoms wheeze", US_national_yearly!$D:$AM, 25, FALSE) / VLOOKUP("LULUCF|PM25|Asthma symptoms wheeze", US_national_yearly!$D:$AM, 10, FALSE), 1)</f>
        <v>1.617099761651636E-4</v>
      </c>
      <c r="R8" s="7">
        <f>$B8 * IFERROR(VLOOKUP("LULUCF|PM25|Asthma symptoms wheeze", US_national_yearly!$D:$AM, 26, FALSE) / VLOOKUP("LULUCF|PM25|Asthma symptoms wheeze", US_national_yearly!$D:$AM, 10, FALSE), 1)</f>
        <v>1.617099761651636E-4</v>
      </c>
      <c r="S8" s="7">
        <f>$B8 * IFERROR(VLOOKUP("LULUCF|PM25|Asthma symptoms wheeze", US_national_yearly!$D:$AM, 27, FALSE) / VLOOKUP("LULUCF|PM25|Asthma symptoms wheeze", US_national_yearly!$D:$AM, 10, FALSE), 1)</f>
        <v>1.617099761651636E-4</v>
      </c>
      <c r="T8" s="7">
        <f>$B8 * IFERROR(VLOOKUP("LULUCF|PM25|Asthma symptoms wheeze", US_national_yearly!$D:$AM, 28, FALSE) / VLOOKUP("LULUCF|PM25|Asthma symptoms wheeze", US_national_yearly!$D:$AM, 10, FALSE), 1)</f>
        <v>1.617099761651636E-4</v>
      </c>
      <c r="U8" s="7">
        <f>$B8 * IFERROR(VLOOKUP("LULUCF|PM25|Asthma symptoms wheeze", US_national_yearly!$D:$AM, 29, FALSE) / VLOOKUP("LULUCF|PM25|Asthma symptoms wheeze", US_national_yearly!$D:$AM, 10, FALSE), 1)</f>
        <v>1.617099761651636E-4</v>
      </c>
      <c r="V8" s="7">
        <f>$B8 * IFERROR(VLOOKUP("LULUCF|PM25|Asthma symptoms wheeze", US_national_yearly!$D:$AM, 30, FALSE) / VLOOKUP("LULUCF|PM25|Asthma symptoms wheeze", US_national_yearly!$D:$AM, 10, FALSE), 1)</f>
        <v>1.617099761651636E-4</v>
      </c>
      <c r="W8" s="7">
        <f>$B8 * IFERROR(VLOOKUP("LULUCF|PM25|Asthma symptoms wheeze", US_national_yearly!$D:$AM, 31, FALSE) / VLOOKUP("LULUCF|PM25|Asthma symptoms wheeze", US_national_yearly!$D:$AM, 10, FALSE), 1)</f>
        <v>1.617099761651636E-4</v>
      </c>
      <c r="X8" s="7">
        <f>$B8 * IFERROR(VLOOKUP("LULUCF|PM25|Asthma symptoms wheeze", US_national_yearly!$D:$AM, 32, FALSE) / VLOOKUP("LULUCF|PM25|Asthma symptoms wheeze", US_national_yearly!$D:$AM, 10, FALSE), 1)</f>
        <v>1.617099761651636E-4</v>
      </c>
      <c r="Y8" s="7">
        <f>$B8 * IFERROR(VLOOKUP("LULUCF|PM25|Asthma symptoms wheeze", US_national_yearly!$D:$AM, 33, FALSE) / VLOOKUP("LULUCF|PM25|Asthma symptoms wheeze", US_national_yearly!$D:$AM, 10, FALSE), 1)</f>
        <v>1.617099761651636E-4</v>
      </c>
      <c r="Z8" s="7">
        <f>$B8 * IFERROR(VLOOKUP("LULUCF|PM25|Asthma symptoms wheeze", US_national_yearly!$D:$AM, 34, FALSE) / VLOOKUP("LULUCF|PM25|Asthma symptoms wheeze", US_national_yearly!$D:$AM, 10, FALSE), 1)</f>
        <v>1.617099761651636E-4</v>
      </c>
      <c r="AA8" s="7">
        <f>$B8 * IFERROR(VLOOKUP("LULUCF|PM25|Asthma symptoms wheeze", US_national_yearly!$D:$AM, 35, FALSE) / VLOOKUP("LULUCF|PM25|Asthma symptoms wheeze", US_national_yearly!$D:$AM, 10, FALSE), 1)</f>
        <v>1.617099761651636E-4</v>
      </c>
      <c r="AB8" s="7">
        <f>$B8 * IFERROR(VLOOKUP("LULUCF|PM25|Asthma symptoms wheeze", US_national_yearly!$D:$AM, 36, FALSE) / VLOOKUP("LULUCF|PM25|Asthma symptoms wheeze", US_national_yearly!$D:$AM, 10, FALSE), 1)</f>
        <v>1.617099761651636E-4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2.9046695849163106E-6</v>
      </c>
      <c r="C12" s="7">
        <f>$B12 * IFERROR(VLOOKUP("LULUCF|PM25|Respiratory hospital admissions", US_national_yearly!$D:$AM, 11, FALSE) / VLOOKUP("LULUCF|PM25|Respiratory hospital admissions", US_national_yearly!$D:$AM, 10, FALSE), 1)</f>
        <v>2.9213179802297804E-6</v>
      </c>
      <c r="D12" s="7">
        <f>$B12 * IFERROR(VLOOKUP("LULUCF|PM25|Respiratory hospital admissions", US_national_yearly!$D:$AM, 12, FALSE) / VLOOKUP("LULUCF|PM25|Respiratory hospital admissions", US_national_yearly!$D:$AM, 10, FALSE), 1)</f>
        <v>2.9379663755432494E-6</v>
      </c>
      <c r="E12" s="7">
        <f>$B12 * IFERROR(VLOOKUP("LULUCF|PM25|Respiratory hospital admissions", US_national_yearly!$D:$AM, 13, FALSE) / VLOOKUP("LULUCF|PM25|Respiratory hospital admissions", US_national_yearly!$D:$AM, 10, FALSE), 1)</f>
        <v>2.9546147708567188E-6</v>
      </c>
      <c r="F12" s="7">
        <f>$B12 * IFERROR(VLOOKUP("LULUCF|PM25|Respiratory hospital admissions", US_national_yearly!$D:$AM, 14, FALSE) / VLOOKUP("LULUCF|PM25|Respiratory hospital admissions", US_national_yearly!$D:$AM, 10, FALSE), 1)</f>
        <v>2.9712631661701878E-6</v>
      </c>
      <c r="G12" s="7">
        <f>$B12 * IFERROR(VLOOKUP("LULUCF|PM25|Respiratory hospital admissions", US_national_yearly!$D:$AM, 15, FALSE) / VLOOKUP("LULUCF|PM25|Respiratory hospital admissions", US_national_yearly!$D:$AM, 10, FALSE), 1)</f>
        <v>2.9892441432506263E-6</v>
      </c>
      <c r="H12" s="7">
        <f>$B12 * IFERROR(VLOOKUP("LULUCF|PM25|Respiratory hospital admissions", US_national_yearly!$D:$AM, 16, FALSE) / VLOOKUP("LULUCF|PM25|Respiratory hospital admissions", US_national_yearly!$D:$AM, 10, FALSE), 1)</f>
        <v>3.0072251203310652E-6</v>
      </c>
      <c r="I12" s="7">
        <f>$B12 * IFERROR(VLOOKUP("LULUCF|PM25|Respiratory hospital admissions", US_national_yearly!$D:$AM, 17, FALSE) / VLOOKUP("LULUCF|PM25|Respiratory hospital admissions", US_national_yearly!$D:$AM, 10, FALSE), 1)</f>
        <v>3.0244052607709561E-6</v>
      </c>
      <c r="J12" s="7">
        <f>$B12 * IFERROR(VLOOKUP("LULUCF|PM25|Respiratory hospital admissions", US_national_yearly!$D:$AM, 18, FALSE) / VLOOKUP("LULUCF|PM25|Respiratory hospital admissions", US_national_yearly!$D:$AM, 10, FALSE), 1)</f>
        <v>3.0415854012108482E-6</v>
      </c>
      <c r="K12" s="7">
        <f>$B12 * IFERROR(VLOOKUP("LULUCF|PM25|Respiratory hospital admissions", US_national_yearly!$D:$AM, 19, FALSE) / VLOOKUP("LULUCF|PM25|Respiratory hospital admissions", US_national_yearly!$D:$AM, 10, FALSE), 1)</f>
        <v>3.0587655416507395E-6</v>
      </c>
      <c r="L12" s="7">
        <f>$B12 * IFERROR(VLOOKUP("LULUCF|PM25|Respiratory hospital admissions", US_national_yearly!$D:$AM, 20, FALSE) / VLOOKUP("LULUCF|PM25|Respiratory hospital admissions", US_national_yearly!$D:$AM, 10, FALSE), 1)</f>
        <v>3.0759456820906321E-6</v>
      </c>
      <c r="M12" s="7">
        <f>$B12 * IFERROR(VLOOKUP("LULUCF|PM25|Respiratory hospital admissions", US_national_yearly!$D:$AM, 21, FALSE) / VLOOKUP("LULUCF|PM25|Respiratory hospital admissions", US_national_yearly!$D:$AM, 10, FALSE), 1)</f>
        <v>3.0931258225305229E-6</v>
      </c>
      <c r="N12" s="7">
        <f>$B12 * IFERROR(VLOOKUP("LULUCF|PM25|Respiratory hospital admissions", US_national_yearly!$D:$AM, 22, FALSE) / VLOOKUP("LULUCF|PM25|Respiratory hospital admissions", US_national_yearly!$D:$AM, 10, FALSE), 1)</f>
        <v>3.1054565106721538E-6</v>
      </c>
      <c r="O12" s="7">
        <f>$B12 * IFERROR(VLOOKUP("LULUCF|PM25|Respiratory hospital admissions", US_national_yearly!$D:$AM, 23, FALSE) / VLOOKUP("LULUCF|PM25|Respiratory hospital admissions", US_national_yearly!$D:$AM, 10, FALSE), 1)</f>
        <v>3.1177871988137843E-6</v>
      </c>
      <c r="P12" s="7">
        <f>$B12 * IFERROR(VLOOKUP("LULUCF|PM25|Respiratory hospital admissions", US_national_yearly!$D:$AM, 24, FALSE) / VLOOKUP("LULUCF|PM25|Respiratory hospital admissions", US_national_yearly!$D:$AM, 10, FALSE), 1)</f>
        <v>3.1301178869554144E-6</v>
      </c>
      <c r="Q12" s="7">
        <f>$B12 * IFERROR(VLOOKUP("LULUCF|PM25|Respiratory hospital admissions", US_national_yearly!$D:$AM, 25, FALSE) / VLOOKUP("LULUCF|PM25|Respiratory hospital admissions", US_national_yearly!$D:$AM, 10, FALSE), 1)</f>
        <v>3.1424485750970449E-6</v>
      </c>
      <c r="R12" s="7">
        <f>$B12 * IFERROR(VLOOKUP("LULUCF|PM25|Respiratory hospital admissions", US_national_yearly!$D:$AM, 26, FALSE) / VLOOKUP("LULUCF|PM25|Respiratory hospital admissions", US_national_yearly!$D:$AM, 10, FALSE), 1)</f>
        <v>3.1547792632386758E-6</v>
      </c>
      <c r="S12" s="7">
        <f>$B12 * IFERROR(VLOOKUP("LULUCF|PM25|Respiratory hospital admissions", US_national_yearly!$D:$AM, 27, FALSE) / VLOOKUP("LULUCF|PM25|Respiratory hospital admissions", US_national_yearly!$D:$AM, 10, FALSE), 1)</f>
        <v>3.1665197031380216E-6</v>
      </c>
      <c r="T12" s="7">
        <f>$B12 * IFERROR(VLOOKUP("LULUCF|PM25|Respiratory hospital admissions", US_national_yearly!$D:$AM, 28, FALSE) / VLOOKUP("LULUCF|PM25|Respiratory hospital admissions", US_national_yearly!$D:$AM, 10, FALSE), 1)</f>
        <v>3.1782601430373678E-6</v>
      </c>
      <c r="U12" s="7">
        <f>$B12 * IFERROR(VLOOKUP("LULUCF|PM25|Respiratory hospital admissions", US_national_yearly!$D:$AM, 29, FALSE) / VLOOKUP("LULUCF|PM25|Respiratory hospital admissions", US_national_yearly!$D:$AM, 10, FALSE), 1)</f>
        <v>3.1900005829367136E-6</v>
      </c>
      <c r="V12" s="7">
        <f>$B12 * IFERROR(VLOOKUP("LULUCF|PM25|Respiratory hospital admissions", US_national_yearly!$D:$AM, 30, FALSE) / VLOOKUP("LULUCF|PM25|Respiratory hospital admissions", US_national_yearly!$D:$AM, 10, FALSE), 1)</f>
        <v>3.2017410228360589E-6</v>
      </c>
      <c r="W12" s="7">
        <f>$B12 * IFERROR(VLOOKUP("LULUCF|PM25|Respiratory hospital admissions", US_national_yearly!$D:$AM, 31, FALSE) / VLOOKUP("LULUCF|PM25|Respiratory hospital admissions", US_national_yearly!$D:$AM, 10, FALSE), 1)</f>
        <v>3.2134814627354047E-6</v>
      </c>
      <c r="X12" s="7">
        <f>$B12 * IFERROR(VLOOKUP("LULUCF|PM25|Respiratory hospital admissions", US_national_yearly!$D:$AM, 32, FALSE) / VLOOKUP("LULUCF|PM25|Respiratory hospital admissions", US_national_yearly!$D:$AM, 10, FALSE), 1)</f>
        <v>3.2247759156816244E-6</v>
      </c>
      <c r="Y12" s="7">
        <f>$B12 * IFERROR(VLOOKUP("LULUCF|PM25|Respiratory hospital admissions", US_national_yearly!$D:$AM, 33, FALSE) / VLOOKUP("LULUCF|PM25|Respiratory hospital admissions", US_national_yearly!$D:$AM, 10, FALSE), 1)</f>
        <v>3.2360703686278432E-6</v>
      </c>
      <c r="Z12" s="7">
        <f>$B12 * IFERROR(VLOOKUP("LULUCF|PM25|Respiratory hospital admissions", US_national_yearly!$D:$AM, 34, FALSE) / VLOOKUP("LULUCF|PM25|Respiratory hospital admissions", US_national_yearly!$D:$AM, 10, FALSE), 1)</f>
        <v>3.2473648215740624E-6</v>
      </c>
      <c r="AA12" s="7">
        <f>$B12 * IFERROR(VLOOKUP("LULUCF|PM25|Respiratory hospital admissions", US_national_yearly!$D:$AM, 35, FALSE) / VLOOKUP("LULUCF|PM25|Respiratory hospital admissions", US_national_yearly!$D:$AM, 10, FALSE), 1)</f>
        <v>3.2586592745202812E-6</v>
      </c>
      <c r="AB12" s="7">
        <f>$B12 * IFERROR(VLOOKUP("LULUCF|PM25|Respiratory hospital admissions", US_national_yearly!$D:$AM, 36, FALSE) / VLOOKUP("LULUCF|PM25|Respiratory hospital admissions", US_national_yearly!$D:$AM, 10, FALSE), 1)</f>
        <v>3.2699537274665004E-6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1.2992152329148439E-5</v>
      </c>
      <c r="C13" s="7">
        <f>$B13 * IFERROR(VLOOKUP("LULUCF|PM25|Non-fatal heart attacks", US_national_yearly!$D:$AM, 11, FALSE) / VLOOKUP("LULUCF|PM25|Non-fatal heart attacks", US_national_yearly!$D:$AM, 10, FALSE), 1)</f>
        <v>1.3369868674583149E-5</v>
      </c>
      <c r="D13" s="7">
        <f>$B13 * IFERROR(VLOOKUP("LULUCF|PM25|Non-fatal heart attacks", US_national_yearly!$D:$AM, 12, FALSE) / VLOOKUP("LULUCF|PM25|Non-fatal heart attacks", US_national_yearly!$D:$AM, 10, FALSE), 1)</f>
        <v>1.3747585020017859E-5</v>
      </c>
      <c r="E13" s="7">
        <f>$B13 * IFERROR(VLOOKUP("LULUCF|PM25|Non-fatal heart attacks", US_national_yearly!$D:$AM, 13, FALSE) / VLOOKUP("LULUCF|PM25|Non-fatal heart attacks", US_national_yearly!$D:$AM, 10, FALSE), 1)</f>
        <v>1.4125301365452568E-5</v>
      </c>
      <c r="F13" s="7">
        <f>$B13 * IFERROR(VLOOKUP("LULUCF|PM25|Non-fatal heart attacks", US_national_yearly!$D:$AM, 14, FALSE) / VLOOKUP("LULUCF|PM25|Non-fatal heart attacks", US_national_yearly!$D:$AM, 10, FALSE), 1)</f>
        <v>1.4503017710887281E-5</v>
      </c>
      <c r="G13" s="7">
        <f>$B13 * IFERROR(VLOOKUP("LULUCF|PM25|Non-fatal heart attacks", US_national_yearly!$D:$AM, 15, FALSE) / VLOOKUP("LULUCF|PM25|Non-fatal heart attacks", US_national_yearly!$D:$AM, 10, FALSE), 1)</f>
        <v>1.4859228103396631E-5</v>
      </c>
      <c r="H13" s="7">
        <f>$B13 * IFERROR(VLOOKUP("LULUCF|PM25|Non-fatal heart attacks", US_national_yearly!$D:$AM, 16, FALSE) / VLOOKUP("LULUCF|PM25|Non-fatal heart attacks", US_national_yearly!$D:$AM, 10, FALSE), 1)</f>
        <v>1.5215438495905978E-5</v>
      </c>
      <c r="I13" s="7">
        <f>$B13 * IFERROR(VLOOKUP("LULUCF|PM25|Non-fatal heart attacks", US_national_yearly!$D:$AM, 17, FALSE) / VLOOKUP("LULUCF|PM25|Non-fatal heart attacks", US_national_yearly!$D:$AM, 10, FALSE), 1)</f>
        <v>1.5501713120692342E-5</v>
      </c>
      <c r="J13" s="7">
        <f>$B13 * IFERROR(VLOOKUP("LULUCF|PM25|Non-fatal heart attacks", US_national_yearly!$D:$AM, 18, FALSE) / VLOOKUP("LULUCF|PM25|Non-fatal heart attacks", US_national_yearly!$D:$AM, 10, FALSE), 1)</f>
        <v>1.5787987745478708E-5</v>
      </c>
      <c r="K13" s="7">
        <f>$B13 * IFERROR(VLOOKUP("LULUCF|PM25|Non-fatal heart attacks", US_national_yearly!$D:$AM, 19, FALSE) / VLOOKUP("LULUCF|PM25|Non-fatal heart attacks", US_national_yearly!$D:$AM, 10, FALSE), 1)</f>
        <v>1.6074262370265076E-5</v>
      </c>
      <c r="L13" s="7">
        <f>$B13 * IFERROR(VLOOKUP("LULUCF|PM25|Non-fatal heart attacks", US_national_yearly!$D:$AM, 20, FALSE) / VLOOKUP("LULUCF|PM25|Non-fatal heart attacks", US_national_yearly!$D:$AM, 10, FALSE), 1)</f>
        <v>1.6360536995051439E-5</v>
      </c>
      <c r="M13" s="7">
        <f>$B13 * IFERROR(VLOOKUP("LULUCF|PM25|Non-fatal heart attacks", US_national_yearly!$D:$AM, 21, FALSE) / VLOOKUP("LULUCF|PM25|Non-fatal heart attacks", US_national_yearly!$D:$AM, 10, FALSE), 1)</f>
        <v>1.6646811619837807E-5</v>
      </c>
      <c r="N13" s="7">
        <f>$B13 * IFERROR(VLOOKUP("LULUCF|PM25|Non-fatal heart attacks", US_national_yearly!$D:$AM, 22, FALSE) / VLOOKUP("LULUCF|PM25|Non-fatal heart attacks", US_national_yearly!$D:$AM, 10, FALSE), 1)</f>
        <v>1.6831430484499869E-5</v>
      </c>
      <c r="O13" s="7">
        <f>$B13 * IFERROR(VLOOKUP("LULUCF|PM25|Non-fatal heart attacks", US_national_yearly!$D:$AM, 23, FALSE) / VLOOKUP("LULUCF|PM25|Non-fatal heart attacks", US_national_yearly!$D:$AM, 10, FALSE), 1)</f>
        <v>1.7016049349161934E-5</v>
      </c>
      <c r="P13" s="7">
        <f>$B13 * IFERROR(VLOOKUP("LULUCF|PM25|Non-fatal heart attacks", US_national_yearly!$D:$AM, 24, FALSE) / VLOOKUP("LULUCF|PM25|Non-fatal heart attacks", US_national_yearly!$D:$AM, 10, FALSE), 1)</f>
        <v>1.7200668213824E-5</v>
      </c>
      <c r="Q13" s="7">
        <f>$B13 * IFERROR(VLOOKUP("LULUCF|PM25|Non-fatal heart attacks", US_national_yearly!$D:$AM, 25, FALSE) / VLOOKUP("LULUCF|PM25|Non-fatal heart attacks", US_national_yearly!$D:$AM, 10, FALSE), 1)</f>
        <v>1.7385287078486058E-5</v>
      </c>
      <c r="R13" s="7">
        <f>$B13 * IFERROR(VLOOKUP("LULUCF|PM25|Non-fatal heart attacks", US_national_yearly!$D:$AM, 26, FALSE) / VLOOKUP("LULUCF|PM25|Non-fatal heart attacks", US_national_yearly!$D:$AM, 10, FALSE), 1)</f>
        <v>1.7569905943148123E-5</v>
      </c>
      <c r="S13" s="7">
        <f>$B13 * IFERROR(VLOOKUP("LULUCF|PM25|Non-fatal heart attacks", US_national_yearly!$D:$AM, 27, FALSE) / VLOOKUP("LULUCF|PM25|Non-fatal heart attacks", US_national_yearly!$D:$AM, 10, FALSE), 1)</f>
        <v>1.7667131511799876E-5</v>
      </c>
      <c r="T13" s="7">
        <f>$B13 * IFERROR(VLOOKUP("LULUCF|PM25|Non-fatal heart attacks", US_national_yearly!$D:$AM, 28, FALSE) / VLOOKUP("LULUCF|PM25|Non-fatal heart attacks", US_national_yearly!$D:$AM, 10, FALSE), 1)</f>
        <v>1.7764357080451634E-5</v>
      </c>
      <c r="U13" s="7">
        <f>$B13 * IFERROR(VLOOKUP("LULUCF|PM25|Non-fatal heart attacks", US_national_yearly!$D:$AM, 29, FALSE) / VLOOKUP("LULUCF|PM25|Non-fatal heart attacks", US_national_yearly!$D:$AM, 10, FALSE), 1)</f>
        <v>1.786158264910339E-5</v>
      </c>
      <c r="V13" s="7">
        <f>$B13 * IFERROR(VLOOKUP("LULUCF|PM25|Non-fatal heart attacks", US_national_yearly!$D:$AM, 30, FALSE) / VLOOKUP("LULUCF|PM25|Non-fatal heart attacks", US_national_yearly!$D:$AM, 10, FALSE), 1)</f>
        <v>1.7958808217755145E-5</v>
      </c>
      <c r="W13" s="7">
        <f>$B13 * IFERROR(VLOOKUP("LULUCF|PM25|Non-fatal heart attacks", US_national_yearly!$D:$AM, 31, FALSE) / VLOOKUP("LULUCF|PM25|Non-fatal heart attacks", US_national_yearly!$D:$AM, 10, FALSE), 1)</f>
        <v>1.8056033786406898E-5</v>
      </c>
      <c r="X13" s="7">
        <f>$B13 * IFERROR(VLOOKUP("LULUCF|PM25|Non-fatal heart attacks", US_national_yearly!$D:$AM, 32, FALSE) / VLOOKUP("LULUCF|PM25|Non-fatal heart attacks", US_national_yearly!$D:$AM, 10, FALSE), 1)</f>
        <v>1.8129842051541876E-5</v>
      </c>
      <c r="Y13" s="7">
        <f>$B13 * IFERROR(VLOOKUP("LULUCF|PM25|Non-fatal heart attacks", US_national_yearly!$D:$AM, 33, FALSE) / VLOOKUP("LULUCF|PM25|Non-fatal heart attacks", US_national_yearly!$D:$AM, 10, FALSE), 1)</f>
        <v>1.8203650316676857E-5</v>
      </c>
      <c r="Z13" s="7">
        <f>$B13 * IFERROR(VLOOKUP("LULUCF|PM25|Non-fatal heart attacks", US_national_yearly!$D:$AM, 34, FALSE) / VLOOKUP("LULUCF|PM25|Non-fatal heart attacks", US_national_yearly!$D:$AM, 10, FALSE), 1)</f>
        <v>1.8277458581811835E-5</v>
      </c>
      <c r="AA13" s="7">
        <f>$B13 * IFERROR(VLOOKUP("LULUCF|PM25|Non-fatal heart attacks", US_national_yearly!$D:$AM, 35, FALSE) / VLOOKUP("LULUCF|PM25|Non-fatal heart attacks", US_national_yearly!$D:$AM, 10, FALSE), 1)</f>
        <v>1.8351266846946816E-5</v>
      </c>
      <c r="AB13" s="7">
        <f>$B13 * IFERROR(VLOOKUP("LULUCF|PM25|Non-fatal heart attacks", US_national_yearly!$D:$AM, 36, FALSE) / VLOOKUP("LULUCF|PM25|Non-fatal heart attacks", US_national_yearly!$D:$AM, 10, FALSE), 1)</f>
        <v>1.8425075112081794E-5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1.1332600333185323E-2</v>
      </c>
      <c r="C14" s="7">
        <f>$B14 * IFERROR(VLOOKUP("LULUCF|PM25|Minor restricted activity days", US_national_yearly!$D:$AM, 11, FALSE) / VLOOKUP("LULUCF|PM25|Minor restricted activity days", US_national_yearly!$D:$AM, 10, FALSE), 1)</f>
        <v>1.1360275887142052E-2</v>
      </c>
      <c r="D14" s="7">
        <f>$B14 * IFERROR(VLOOKUP("LULUCF|PM25|Minor restricted activity days", US_national_yearly!$D:$AM, 12, FALSE) / VLOOKUP("LULUCF|PM25|Minor restricted activity days", US_national_yearly!$D:$AM, 10, FALSE), 1)</f>
        <v>1.1387951441098779E-2</v>
      </c>
      <c r="E14" s="7">
        <f>$B14 * IFERROR(VLOOKUP("LULUCF|PM25|Minor restricted activity days", US_national_yearly!$D:$AM, 13, FALSE) / VLOOKUP("LULUCF|PM25|Minor restricted activity days", US_national_yearly!$D:$AM, 10, FALSE), 1)</f>
        <v>1.141562699505551E-2</v>
      </c>
      <c r="F14" s="7">
        <f>$B14 * IFERROR(VLOOKUP("LULUCF|PM25|Minor restricted activity days", US_national_yearly!$D:$AM, 14, FALSE) / VLOOKUP("LULUCF|PM25|Minor restricted activity days", US_national_yearly!$D:$AM, 10, FALSE), 1)</f>
        <v>1.1443302549012236E-2</v>
      </c>
      <c r="G14" s="7">
        <f>$B14 * IFERROR(VLOOKUP("LULUCF|PM25|Minor restricted activity days", US_national_yearly!$D:$AM, 15, FALSE) / VLOOKUP("LULUCF|PM25|Minor restricted activity days", US_national_yearly!$D:$AM, 10, FALSE), 1)</f>
        <v>1.1484137000617834E-2</v>
      </c>
      <c r="H14" s="7">
        <f>$B14 * IFERROR(VLOOKUP("LULUCF|PM25|Minor restricted activity days", US_national_yearly!$D:$AM, 16, FALSE) / VLOOKUP("LULUCF|PM25|Minor restricted activity days", US_national_yearly!$D:$AM, 10, FALSE), 1)</f>
        <v>1.1524971452223431E-2</v>
      </c>
      <c r="I14" s="7">
        <f>$B14 * IFERROR(VLOOKUP("LULUCF|PM25|Minor restricted activity days", US_national_yearly!$D:$AM, 17, FALSE) / VLOOKUP("LULUCF|PM25|Minor restricted activity days", US_national_yearly!$D:$AM, 10, FALSE), 1)</f>
        <v>1.1594779665182502E-2</v>
      </c>
      <c r="J14" s="7">
        <f>$B14 * IFERROR(VLOOKUP("LULUCF|PM25|Minor restricted activity days", US_national_yearly!$D:$AM, 18, FALSE) / VLOOKUP("LULUCF|PM25|Minor restricted activity days", US_national_yearly!$D:$AM, 10, FALSE), 1)</f>
        <v>1.166458787814157E-2</v>
      </c>
      <c r="K14" s="7">
        <f>$B14 * IFERROR(VLOOKUP("LULUCF|PM25|Minor restricted activity days", US_national_yearly!$D:$AM, 19, FALSE) / VLOOKUP("LULUCF|PM25|Minor restricted activity days", US_national_yearly!$D:$AM, 10, FALSE), 1)</f>
        <v>1.1734396091100642E-2</v>
      </c>
      <c r="L14" s="7">
        <f>$B14 * IFERROR(VLOOKUP("LULUCF|PM25|Minor restricted activity days", US_national_yearly!$D:$AM, 20, FALSE) / VLOOKUP("LULUCF|PM25|Minor restricted activity days", US_national_yearly!$D:$AM, 10, FALSE), 1)</f>
        <v>1.1804204304059712E-2</v>
      </c>
      <c r="M14" s="7">
        <f>$B14 * IFERROR(VLOOKUP("LULUCF|PM25|Minor restricted activity days", US_national_yearly!$D:$AM, 21, FALSE) / VLOOKUP("LULUCF|PM25|Minor restricted activity days", US_national_yearly!$D:$AM, 10, FALSE), 1)</f>
        <v>1.187401251701878E-2</v>
      </c>
      <c r="N14" s="7">
        <f>$B14 * IFERROR(VLOOKUP("LULUCF|PM25|Minor restricted activity days", US_national_yearly!$D:$AM, 22, FALSE) / VLOOKUP("LULUCF|PM25|Minor restricted activity days", US_national_yearly!$D:$AM, 10, FALSE), 1)</f>
        <v>1.1969105201859516E-2</v>
      </c>
      <c r="O14" s="7">
        <f>$B14 * IFERROR(VLOOKUP("LULUCF|PM25|Minor restricted activity days", US_national_yearly!$D:$AM, 23, FALSE) / VLOOKUP("LULUCF|PM25|Minor restricted activity days", US_national_yearly!$D:$AM, 10, FALSE), 1)</f>
        <v>1.2064197886700248E-2</v>
      </c>
      <c r="P14" s="7">
        <f>$B14 * IFERROR(VLOOKUP("LULUCF|PM25|Minor restricted activity days", US_national_yearly!$D:$AM, 24, FALSE) / VLOOKUP("LULUCF|PM25|Minor restricted activity days", US_national_yearly!$D:$AM, 10, FALSE), 1)</f>
        <v>1.2159290571540984E-2</v>
      </c>
      <c r="Q14" s="7">
        <f>$B14 * IFERROR(VLOOKUP("LULUCF|PM25|Minor restricted activity days", US_national_yearly!$D:$AM, 25, FALSE) / VLOOKUP("LULUCF|PM25|Minor restricted activity days", US_national_yearly!$D:$AM, 10, FALSE), 1)</f>
        <v>1.2254383256381719E-2</v>
      </c>
      <c r="R14" s="7">
        <f>$B14 * IFERROR(VLOOKUP("LULUCF|PM25|Minor restricted activity days", US_national_yearly!$D:$AM, 26, FALSE) / VLOOKUP("LULUCF|PM25|Minor restricted activity days", US_national_yearly!$D:$AM, 10, FALSE), 1)</f>
        <v>1.2349475941222451E-2</v>
      </c>
      <c r="S14" s="7">
        <f>$B14 * IFERROR(VLOOKUP("LULUCF|PM25|Minor restricted activity days", US_national_yearly!$D:$AM, 27, FALSE) / VLOOKUP("LULUCF|PM25|Minor restricted activity days", US_national_yearly!$D:$AM, 10, FALSE), 1)</f>
        <v>1.244522349822377E-2</v>
      </c>
      <c r="T14" s="7">
        <f>$B14 * IFERROR(VLOOKUP("LULUCF|PM25|Minor restricted activity days", US_national_yearly!$D:$AM, 28, FALSE) / VLOOKUP("LULUCF|PM25|Minor restricted activity days", US_national_yearly!$D:$AM, 10, FALSE), 1)</f>
        <v>1.2540971055225088E-2</v>
      </c>
      <c r="U14" s="7">
        <f>$B14 * IFERROR(VLOOKUP("LULUCF|PM25|Minor restricted activity days", US_national_yearly!$D:$AM, 29, FALSE) / VLOOKUP("LULUCF|PM25|Minor restricted activity days", US_national_yearly!$D:$AM, 10, FALSE), 1)</f>
        <v>1.2636718612226408E-2</v>
      </c>
      <c r="V14" s="7">
        <f>$B14 * IFERROR(VLOOKUP("LULUCF|PM25|Minor restricted activity days", US_national_yearly!$D:$AM, 30, FALSE) / VLOOKUP("LULUCF|PM25|Minor restricted activity days", US_national_yearly!$D:$AM, 10, FALSE), 1)</f>
        <v>1.2732466169227727E-2</v>
      </c>
      <c r="W14" s="7">
        <f>$B14 * IFERROR(VLOOKUP("LULUCF|PM25|Minor restricted activity days", US_national_yearly!$D:$AM, 31, FALSE) / VLOOKUP("LULUCF|PM25|Minor restricted activity days", US_national_yearly!$D:$AM, 10, FALSE), 1)</f>
        <v>1.2828213726229045E-2</v>
      </c>
      <c r="X14" s="7">
        <f>$B14 * IFERROR(VLOOKUP("LULUCF|PM25|Minor restricted activity days", US_national_yearly!$D:$AM, 32, FALSE) / VLOOKUP("LULUCF|PM25|Minor restricted activity days", US_national_yearly!$D:$AM, 10, FALSE), 1)</f>
        <v>1.2911332238093692E-2</v>
      </c>
      <c r="Y14" s="7">
        <f>$B14 * IFERROR(VLOOKUP("LULUCF|PM25|Minor restricted activity days", US_national_yearly!$D:$AM, 33, FALSE) / VLOOKUP("LULUCF|PM25|Minor restricted activity days", US_national_yearly!$D:$AM, 10, FALSE), 1)</f>
        <v>1.2994450749958338E-2</v>
      </c>
      <c r="Z14" s="7">
        <f>$B14 * IFERROR(VLOOKUP("LULUCF|PM25|Minor restricted activity days", US_national_yearly!$D:$AM, 34, FALSE) / VLOOKUP("LULUCF|PM25|Minor restricted activity days", US_national_yearly!$D:$AM, 10, FALSE), 1)</f>
        <v>1.3077569261822984E-2</v>
      </c>
      <c r="AA14" s="7">
        <f>$B14 * IFERROR(VLOOKUP("LULUCF|PM25|Minor restricted activity days", US_national_yearly!$D:$AM, 35, FALSE) / VLOOKUP("LULUCF|PM25|Minor restricted activity days", US_national_yearly!$D:$AM, 10, FALSE), 1)</f>
        <v>1.3160687773687629E-2</v>
      </c>
      <c r="AB14" s="7">
        <f>$B14 * IFERROR(VLOOKUP("LULUCF|PM25|Minor restricted activity days", US_national_yearly!$D:$AM, 36, FALSE) / VLOOKUP("LULUCF|PM25|Minor restricted activity days", US_national_yearly!$D:$AM, 10, FALSE), 1)</f>
        <v>1.3243806285552275E-2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1.902461848776945E-3</v>
      </c>
      <c r="C15" s="7">
        <f>$B15 * IFERROR(VLOOKUP("LULUCF|PM25|Work loss days", US_national_yearly!$D:$AM, 11, FALSE) / VLOOKUP("LULUCF|PM25|Work loss days", US_national_yearly!$D:$AM, 10, FALSE), 1)</f>
        <v>1.9083587952969565E-3</v>
      </c>
      <c r="D15" s="7">
        <f>$B15 * IFERROR(VLOOKUP("LULUCF|PM25|Work loss days", US_national_yearly!$D:$AM, 12, FALSE) / VLOOKUP("LULUCF|PM25|Work loss days", US_national_yearly!$D:$AM, 10, FALSE), 1)</f>
        <v>1.9142557418169682E-3</v>
      </c>
      <c r="E15" s="7">
        <f>$B15 * IFERROR(VLOOKUP("LULUCF|PM25|Work loss days", US_national_yearly!$D:$AM, 13, FALSE) / VLOOKUP("LULUCF|PM25|Work loss days", US_national_yearly!$D:$AM, 10, FALSE), 1)</f>
        <v>1.9201526883369797E-3</v>
      </c>
      <c r="F15" s="7">
        <f>$B15 * IFERROR(VLOOKUP("LULUCF|PM25|Work loss days", US_national_yearly!$D:$AM, 14, FALSE) / VLOOKUP("LULUCF|PM25|Work loss days", US_national_yearly!$D:$AM, 10, FALSE), 1)</f>
        <v>1.9260496348569912E-3</v>
      </c>
      <c r="G15" s="7">
        <f>$B15 * IFERROR(VLOOKUP("LULUCF|PM25|Work loss days", US_national_yearly!$D:$AM, 15, FALSE) / VLOOKUP("LULUCF|PM25|Work loss days", US_national_yearly!$D:$AM, 10, FALSE), 1)</f>
        <v>1.9337809080345392E-3</v>
      </c>
      <c r="H15" s="7">
        <f>$B15 * IFERROR(VLOOKUP("LULUCF|PM25|Work loss days", US_national_yearly!$D:$AM, 16, FALSE) / VLOOKUP("LULUCF|PM25|Work loss days", US_national_yearly!$D:$AM, 10, FALSE), 1)</f>
        <v>1.9415121812120879E-3</v>
      </c>
      <c r="I15" s="7">
        <f>$B15 * IFERROR(VLOOKUP("LULUCF|PM25|Work loss days", US_national_yearly!$D:$AM, 17, FALSE) / VLOOKUP("LULUCF|PM25|Work loss days", US_national_yearly!$D:$AM, 10, FALSE), 1)</f>
        <v>1.9528973312893962E-3</v>
      </c>
      <c r="J15" s="7">
        <f>$B15 * IFERROR(VLOOKUP("LULUCF|PM25|Work loss days", US_national_yearly!$D:$AM, 18, FALSE) / VLOOKUP("LULUCF|PM25|Work loss days", US_national_yearly!$D:$AM, 10, FALSE), 1)</f>
        <v>1.9642824813667042E-3</v>
      </c>
      <c r="K15" s="7">
        <f>$B15 * IFERROR(VLOOKUP("LULUCF|PM25|Work loss days", US_national_yearly!$D:$AM, 19, FALSE) / VLOOKUP("LULUCF|PM25|Work loss days", US_national_yearly!$D:$AM, 10, FALSE), 1)</f>
        <v>1.9756676314440125E-3</v>
      </c>
      <c r="L15" s="7">
        <f>$B15 * IFERROR(VLOOKUP("LULUCF|PM25|Work loss days", US_national_yearly!$D:$AM, 20, FALSE) / VLOOKUP("LULUCF|PM25|Work loss days", US_national_yearly!$D:$AM, 10, FALSE), 1)</f>
        <v>1.9870527815213208E-3</v>
      </c>
      <c r="M15" s="7">
        <f>$B15 * IFERROR(VLOOKUP("LULUCF|PM25|Work loss days", US_national_yearly!$D:$AM, 21, FALSE) / VLOOKUP("LULUCF|PM25|Work loss days", US_national_yearly!$D:$AM, 10, FALSE), 1)</f>
        <v>1.9984379315986286E-3</v>
      </c>
      <c r="N15" s="7">
        <f>$B15 * IFERROR(VLOOKUP("LULUCF|PM25|Work loss days", US_national_yearly!$D:$AM, 22, FALSE) / VLOOKUP("LULUCF|PM25|Work loss days", US_national_yearly!$D:$AM, 10, FALSE), 1)</f>
        <v>2.0127670046992804E-3</v>
      </c>
      <c r="O15" s="7">
        <f>$B15 * IFERROR(VLOOKUP("LULUCF|PM25|Work loss days", US_national_yearly!$D:$AM, 23, FALSE) / VLOOKUP("LULUCF|PM25|Work loss days", US_national_yearly!$D:$AM, 10, FALSE), 1)</f>
        <v>2.0270960777999318E-3</v>
      </c>
      <c r="P15" s="7">
        <f>$B15 * IFERROR(VLOOKUP("LULUCF|PM25|Work loss days", US_national_yearly!$D:$AM, 24, FALSE) / VLOOKUP("LULUCF|PM25|Work loss days", US_national_yearly!$D:$AM, 10, FALSE), 1)</f>
        <v>2.0414251509005836E-3</v>
      </c>
      <c r="Q15" s="7">
        <f>$B15 * IFERROR(VLOOKUP("LULUCF|PM25|Work loss days", US_national_yearly!$D:$AM, 25, FALSE) / VLOOKUP("LULUCF|PM25|Work loss days", US_national_yearly!$D:$AM, 10, FALSE), 1)</f>
        <v>2.055754224001235E-3</v>
      </c>
      <c r="R15" s="7">
        <f>$B15 * IFERROR(VLOOKUP("LULUCF|PM25|Work loss days", US_national_yearly!$D:$AM, 26, FALSE) / VLOOKUP("LULUCF|PM25|Work loss days", US_national_yearly!$D:$AM, 10, FALSE), 1)</f>
        <v>2.0700832971018868E-3</v>
      </c>
      <c r="S15" s="7">
        <f>$B15 * IFERROR(VLOOKUP("LULUCF|PM25|Work loss days", US_national_yearly!$D:$AM, 27, FALSE) / VLOOKUP("LULUCF|PM25|Work loss days", US_national_yearly!$D:$AM, 10, FALSE), 1)</f>
        <v>2.0859318637088181E-3</v>
      </c>
      <c r="T15" s="7">
        <f>$B15 * IFERROR(VLOOKUP("LULUCF|PM25|Work loss days", US_national_yearly!$D:$AM, 28, FALSE) / VLOOKUP("LULUCF|PM25|Work loss days", US_national_yearly!$D:$AM, 10, FALSE), 1)</f>
        <v>2.1017804303157493E-3</v>
      </c>
      <c r="U15" s="7">
        <f>$B15 * IFERROR(VLOOKUP("LULUCF|PM25|Work loss days", US_national_yearly!$D:$AM, 29, FALSE) / VLOOKUP("LULUCF|PM25|Work loss days", US_national_yearly!$D:$AM, 10, FALSE), 1)</f>
        <v>2.1176289969226797E-3</v>
      </c>
      <c r="V15" s="7">
        <f>$B15 * IFERROR(VLOOKUP("LULUCF|PM25|Work loss days", US_national_yearly!$D:$AM, 30, FALSE) / VLOOKUP("LULUCF|PM25|Work loss days", US_national_yearly!$D:$AM, 10, FALSE), 1)</f>
        <v>2.1334775635296114E-3</v>
      </c>
      <c r="W15" s="7">
        <f>$B15 * IFERROR(VLOOKUP("LULUCF|PM25|Work loss days", US_national_yearly!$D:$AM, 31, FALSE) / VLOOKUP("LULUCF|PM25|Work loss days", US_national_yearly!$D:$AM, 10, FALSE), 1)</f>
        <v>2.1493261301365422E-3</v>
      </c>
      <c r="X15" s="7">
        <f>$B15 * IFERROR(VLOOKUP("LULUCF|PM25|Work loss days", US_national_yearly!$D:$AM, 32, FALSE) / VLOOKUP("LULUCF|PM25|Work loss days", US_national_yearly!$D:$AM, 10, FALSE), 1)</f>
        <v>2.1633880831327134E-3</v>
      </c>
      <c r="Y15" s="7">
        <f>$B15 * IFERROR(VLOOKUP("LULUCF|PM25|Work loss days", US_national_yearly!$D:$AM, 33, FALSE) / VLOOKUP("LULUCF|PM25|Work loss days", US_national_yearly!$D:$AM, 10, FALSE), 1)</f>
        <v>2.1774500361288851E-3</v>
      </c>
      <c r="Z15" s="7">
        <f>$B15 * IFERROR(VLOOKUP("LULUCF|PM25|Work loss days", US_national_yearly!$D:$AM, 34, FALSE) / VLOOKUP("LULUCF|PM25|Work loss days", US_national_yearly!$D:$AM, 10, FALSE), 1)</f>
        <v>2.1915119891250568E-3</v>
      </c>
      <c r="AA15" s="7">
        <f>$B15 * IFERROR(VLOOKUP("LULUCF|PM25|Work loss days", US_national_yearly!$D:$AM, 35, FALSE) / VLOOKUP("LULUCF|PM25|Work loss days", US_national_yearly!$D:$AM, 10, FALSE), 1)</f>
        <v>2.2055739421212284E-3</v>
      </c>
      <c r="AB15" s="7">
        <f>$B15 * IFERROR(VLOOKUP("LULUCF|PM25|Work loss days", US_national_yearly!$D:$AM, 36, FALSE) / VLOOKUP("LULUCF|PM25|Work loss days", US_national_yearly!$D:$AM, 10, FALSE), 1)</f>
        <v>2.2196358951173997E-3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2.9571189427914002E-6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3.0454797188508918E-6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3.1338404949103839E-6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3.222201270969876E-6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3.3105620470293681E-6</v>
      </c>
      <c r="G17" s="7">
        <f>$B17 * IFERROR(VLOOKUP("LULUCF|PM25|Cardiovascular hospital admissions", US_national_yearly!$D:$AM, 15, FALSE) / VLOOKUP("LULUCF|PM25|Cardiovascular hospital admissions", US_national_yearly!$D:$AM, 10, FALSE), 1)</f>
        <v>3.3951958868960611E-6</v>
      </c>
      <c r="H17" s="7">
        <f>$B17 * IFERROR(VLOOKUP("LULUCF|PM25|Cardiovascular hospital admissions", US_national_yearly!$D:$AM, 16, FALSE) / VLOOKUP("LULUCF|PM25|Cardiovascular hospital admissions", US_national_yearly!$D:$AM, 10, FALSE), 1)</f>
        <v>3.479829726762755E-6</v>
      </c>
      <c r="I17" s="7">
        <f>$B17 * IFERROR(VLOOKUP("LULUCF|PM25|Cardiovascular hospital admissions", US_national_yearly!$D:$AM, 17, FALSE) / VLOOKUP("LULUCF|PM25|Cardiovascular hospital admissions", US_national_yearly!$D:$AM, 10, FALSE), 1)</f>
        <v>3.5522132332008274E-6</v>
      </c>
      <c r="J17" s="7">
        <f>$B17 * IFERROR(VLOOKUP("LULUCF|PM25|Cardiovascular hospital admissions", US_national_yearly!$D:$AM, 18, FALSE) / VLOOKUP("LULUCF|PM25|Cardiovascular hospital admissions", US_national_yearly!$D:$AM, 10, FALSE), 1)</f>
        <v>3.6245967396388993E-6</v>
      </c>
      <c r="K17" s="7">
        <f>$B17 * IFERROR(VLOOKUP("LULUCF|PM25|Cardiovascular hospital admissions", US_national_yearly!$D:$AM, 19, FALSE) / VLOOKUP("LULUCF|PM25|Cardiovascular hospital admissions", US_national_yearly!$D:$AM, 10, FALSE), 1)</f>
        <v>3.6969802460769712E-6</v>
      </c>
      <c r="L17" s="7">
        <f>$B17 * IFERROR(VLOOKUP("LULUCF|PM25|Cardiovascular hospital admissions", US_national_yearly!$D:$AM, 20, FALSE) / VLOOKUP("LULUCF|PM25|Cardiovascular hospital admissions", US_national_yearly!$D:$AM, 10, FALSE), 1)</f>
        <v>3.769363752515044E-6</v>
      </c>
      <c r="M17" s="7">
        <f>$B17 * IFERROR(VLOOKUP("LULUCF|PM25|Cardiovascular hospital admissions", US_national_yearly!$D:$AM, 21, FALSE) / VLOOKUP("LULUCF|PM25|Cardiovascular hospital admissions", US_national_yearly!$D:$AM, 10, FALSE), 1)</f>
        <v>3.8417472589531155E-6</v>
      </c>
      <c r="N17" s="7">
        <f>$B17 * IFERROR(VLOOKUP("LULUCF|PM25|Cardiovascular hospital admissions", US_national_yearly!$D:$AM, 22, FALSE) / VLOOKUP("LULUCF|PM25|Cardiovascular hospital admissions", US_national_yearly!$D:$AM, 10, FALSE), 1)</f>
        <v>3.8900069953073265E-6</v>
      </c>
      <c r="O17" s="7">
        <f>$B17 * IFERROR(VLOOKUP("LULUCF|PM25|Cardiovascular hospital admissions", US_national_yearly!$D:$AM, 23, FALSE) / VLOOKUP("LULUCF|PM25|Cardiovascular hospital admissions", US_national_yearly!$D:$AM, 10, FALSE), 1)</f>
        <v>3.9382667316615384E-6</v>
      </c>
      <c r="P17" s="7">
        <f>$B17 * IFERROR(VLOOKUP("LULUCF|PM25|Cardiovascular hospital admissions", US_national_yearly!$D:$AM, 24, FALSE) / VLOOKUP("LULUCF|PM25|Cardiovascular hospital admissions", US_national_yearly!$D:$AM, 10, FALSE), 1)</f>
        <v>3.9865264680157495E-6</v>
      </c>
      <c r="Q17" s="7">
        <f>$B17 * IFERROR(VLOOKUP("LULUCF|PM25|Cardiovascular hospital admissions", US_national_yearly!$D:$AM, 25, FALSE) / VLOOKUP("LULUCF|PM25|Cardiovascular hospital admissions", US_national_yearly!$D:$AM, 10, FALSE), 1)</f>
        <v>4.0347862043699614E-6</v>
      </c>
      <c r="R17" s="7">
        <f>$B17 * IFERROR(VLOOKUP("LULUCF|PM25|Cardiovascular hospital admissions", US_national_yearly!$D:$AM, 26, FALSE) / VLOOKUP("LULUCF|PM25|Cardiovascular hospital admissions", US_national_yearly!$D:$AM, 10, FALSE), 1)</f>
        <v>4.0830459407241724E-6</v>
      </c>
      <c r="S17" s="7">
        <f>$B17 * IFERROR(VLOOKUP("LULUCF|PM25|Cardiovascular hospital admissions", US_national_yearly!$D:$AM, 27, FALSE) / VLOOKUP("LULUCF|PM25|Cardiovascular hospital admissions", US_national_yearly!$D:$AM, 10, FALSE), 1)</f>
        <v>4.1085798468361137E-6</v>
      </c>
      <c r="T17" s="7">
        <f>$B17 * IFERROR(VLOOKUP("LULUCF|PM25|Cardiovascular hospital admissions", US_national_yearly!$D:$AM, 28, FALSE) / VLOOKUP("LULUCF|PM25|Cardiovascular hospital admissions", US_national_yearly!$D:$AM, 10, FALSE), 1)</f>
        <v>4.1341137529480542E-6</v>
      </c>
      <c r="U17" s="7">
        <f>$B17 * IFERROR(VLOOKUP("LULUCF|PM25|Cardiovascular hospital admissions", US_national_yearly!$D:$AM, 29, FALSE) / VLOOKUP("LULUCF|PM25|Cardiovascular hospital admissions", US_national_yearly!$D:$AM, 10, FALSE), 1)</f>
        <v>4.1596476590599946E-6</v>
      </c>
      <c r="V17" s="7">
        <f>$B17 * IFERROR(VLOOKUP("LULUCF|PM25|Cardiovascular hospital admissions", US_national_yearly!$D:$AM, 30, FALSE) / VLOOKUP("LULUCF|PM25|Cardiovascular hospital admissions", US_national_yearly!$D:$AM, 10, FALSE), 1)</f>
        <v>4.1851815651719351E-6</v>
      </c>
      <c r="W17" s="7">
        <f>$B17 * IFERROR(VLOOKUP("LULUCF|PM25|Cardiovascular hospital admissions", US_national_yearly!$D:$AM, 31, FALSE) / VLOOKUP("LULUCF|PM25|Cardiovascular hospital admissions", US_national_yearly!$D:$AM, 10, FALSE), 1)</f>
        <v>4.2107154712838764E-6</v>
      </c>
      <c r="X17" s="7">
        <f>$B17 * IFERROR(VLOOKUP("LULUCF|PM25|Cardiovascular hospital admissions", US_national_yearly!$D:$AM, 32, FALSE) / VLOOKUP("LULUCF|PM25|Cardiovascular hospital admissions", US_national_yearly!$D:$AM, 10, FALSE), 1)</f>
        <v>4.2279052327506729E-6</v>
      </c>
      <c r="Y17" s="7">
        <f>$B17 * IFERROR(VLOOKUP("LULUCF|PM25|Cardiovascular hospital admissions", US_national_yearly!$D:$AM, 33, FALSE) / VLOOKUP("LULUCF|PM25|Cardiovascular hospital admissions", US_national_yearly!$D:$AM, 10, FALSE), 1)</f>
        <v>4.2450949942174694E-6</v>
      </c>
      <c r="Z17" s="7">
        <f>$B17 * IFERROR(VLOOKUP("LULUCF|PM25|Cardiovascular hospital admissions", US_national_yearly!$D:$AM, 34, FALSE) / VLOOKUP("LULUCF|PM25|Cardiovascular hospital admissions", US_national_yearly!$D:$AM, 10, FALSE), 1)</f>
        <v>4.2622847556842659E-6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4.2794745171510625E-6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4.296664278617859E-6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3.8218885166438308E-5</v>
      </c>
      <c r="C2" s="7">
        <f>$B2 * IFERROR(VLOOKUP("LULUCF|NOx|Premature mortality", US_national_yearly!$D:$AM, 11, FALSE) / VLOOKUP("LULUCF|NOx|Premature mortality", US_national_yearly!$D:$AM, 10, FALSE), 1)</f>
        <v>3.8780255989937552E-5</v>
      </c>
      <c r="D2" s="7">
        <f>$B2 * IFERROR(VLOOKUP("LULUCF|NOx|Premature mortality", US_national_yearly!$D:$AM, 12, FALSE) / VLOOKUP("LULUCF|NOx|Premature mortality", US_national_yearly!$D:$AM, 10, FALSE), 1)</f>
        <v>3.9341626813436789E-5</v>
      </c>
      <c r="E2" s="7">
        <f>$B2 * IFERROR(VLOOKUP("LULUCF|NOx|Premature mortality", US_national_yearly!$D:$AM, 13, FALSE) / VLOOKUP("LULUCF|NOx|Premature mortality", US_national_yearly!$D:$AM, 10, FALSE), 1)</f>
        <v>3.9902997636936026E-5</v>
      </c>
      <c r="F2" s="7">
        <f>$B2 * IFERROR(VLOOKUP("LULUCF|NOx|Premature mortality", US_national_yearly!$D:$AM, 14, FALSE) / VLOOKUP("LULUCF|NOx|Premature mortality", US_national_yearly!$D:$AM, 10, FALSE), 1)</f>
        <v>4.0464368460435269E-5</v>
      </c>
      <c r="G2" s="7">
        <f>$B2 * IFERROR(VLOOKUP("LULUCF|NOx|Premature mortality", US_national_yearly!$D:$AM, 15, FALSE) / VLOOKUP("LULUCF|NOx|Premature mortality", US_national_yearly!$D:$AM, 10, FALSE), 1)</f>
        <v>4.1472723181090186E-5</v>
      </c>
      <c r="H2" s="7">
        <f>$B2 * IFERROR(VLOOKUP("LULUCF|NOx|Premature mortality", US_national_yearly!$D:$AM, 16, FALSE) / VLOOKUP("LULUCF|NOx|Premature mortality", US_national_yearly!$D:$AM, 10, FALSE), 1)</f>
        <v>4.2481077901745115E-5</v>
      </c>
      <c r="I2" s="7">
        <f>$B2 * IFERROR(VLOOKUP("LULUCF|NOx|Premature mortality", US_national_yearly!$D:$AM, 17, FALSE) / VLOOKUP("LULUCF|NOx|Premature mortality", US_national_yearly!$D:$AM, 10, FALSE), 1)</f>
        <v>4.3131990001040508E-5</v>
      </c>
      <c r="J2" s="7">
        <f>$B2 * IFERROR(VLOOKUP("LULUCF|NOx|Premature mortality", US_national_yearly!$D:$AM, 18, FALSE) / VLOOKUP("LULUCF|NOx|Premature mortality", US_national_yearly!$D:$AM, 10, FALSE), 1)</f>
        <v>4.3782902100335907E-5</v>
      </c>
      <c r="K2" s="7">
        <f>$B2 * IFERROR(VLOOKUP("LULUCF|NOx|Premature mortality", US_national_yearly!$D:$AM, 19, FALSE) / VLOOKUP("LULUCF|NOx|Premature mortality", US_national_yearly!$D:$AM, 10, FALSE), 1)</f>
        <v>4.4433814199631293E-5</v>
      </c>
      <c r="L2" s="7">
        <f>$B2 * IFERROR(VLOOKUP("LULUCF|NOx|Premature mortality", US_national_yearly!$D:$AM, 20, FALSE) / VLOOKUP("LULUCF|NOx|Premature mortality", US_national_yearly!$D:$AM, 10, FALSE), 1)</f>
        <v>4.5084726298926685E-5</v>
      </c>
      <c r="M2" s="7">
        <f>$B2 * IFERROR(VLOOKUP("LULUCF|NOx|Premature mortality", US_national_yearly!$D:$AM, 21, FALSE) / VLOOKUP("LULUCF|NOx|Premature mortality", US_national_yearly!$D:$AM, 10, FALSE), 1)</f>
        <v>4.5735638398222085E-5</v>
      </c>
      <c r="N2" s="7">
        <f>$B2 * IFERROR(VLOOKUP("LULUCF|NOx|Premature mortality", US_national_yearly!$D:$AM, 22, FALSE) / VLOOKUP("LULUCF|NOx|Premature mortality", US_national_yearly!$D:$AM, 10, FALSE), 1)</f>
        <v>4.6217831550930878E-5</v>
      </c>
      <c r="O2" s="7">
        <f>$B2 * IFERROR(VLOOKUP("LULUCF|NOx|Premature mortality", US_national_yearly!$D:$AM, 23, FALSE) / VLOOKUP("LULUCF|NOx|Premature mortality", US_national_yearly!$D:$AM, 10, FALSE), 1)</f>
        <v>4.6700024703639677E-5</v>
      </c>
      <c r="P2" s="7">
        <f>$B2 * IFERROR(VLOOKUP("LULUCF|NOx|Premature mortality", US_national_yearly!$D:$AM, 24, FALSE) / VLOOKUP("LULUCF|NOx|Premature mortality", US_national_yearly!$D:$AM, 10, FALSE), 1)</f>
        <v>4.718221785634847E-5</v>
      </c>
      <c r="Q2" s="7">
        <f>$B2 * IFERROR(VLOOKUP("LULUCF|NOx|Premature mortality", US_national_yearly!$D:$AM, 25, FALSE) / VLOOKUP("LULUCF|NOx|Premature mortality", US_national_yearly!$D:$AM, 10, FALSE), 1)</f>
        <v>4.7664411009057277E-5</v>
      </c>
      <c r="R2" s="7">
        <f>$B2 * IFERROR(VLOOKUP("LULUCF|NOx|Premature mortality", US_national_yearly!$D:$AM, 26, FALSE) / VLOOKUP("LULUCF|NOx|Premature mortality", US_national_yearly!$D:$AM, 10, FALSE), 1)</f>
        <v>4.8146604161766069E-5</v>
      </c>
      <c r="S2" s="7">
        <f>$B2 * IFERROR(VLOOKUP("LULUCF|NOx|Premature mortality", US_national_yearly!$D:$AM, 27, FALSE) / VLOOKUP("LULUCF|NOx|Premature mortality", US_national_yearly!$D:$AM, 10, FALSE), 1)</f>
        <v>4.8365765805292737E-5</v>
      </c>
      <c r="T2" s="7">
        <f>$B2 * IFERROR(VLOOKUP("LULUCF|NOx|Premature mortality", US_national_yearly!$D:$AM, 28, FALSE) / VLOOKUP("LULUCF|NOx|Premature mortality", US_national_yearly!$D:$AM, 10, FALSE), 1)</f>
        <v>4.8584927448819418E-5</v>
      </c>
      <c r="U2" s="7">
        <f>$B2 * IFERROR(VLOOKUP("LULUCF|NOx|Premature mortality", US_national_yearly!$D:$AM, 29, FALSE) / VLOOKUP("LULUCF|NOx|Premature mortality", US_national_yearly!$D:$AM, 10, FALSE), 1)</f>
        <v>4.8804089092346086E-5</v>
      </c>
      <c r="V2" s="7">
        <f>$B2 * IFERROR(VLOOKUP("LULUCF|NOx|Premature mortality", US_national_yearly!$D:$AM, 30, FALSE) / VLOOKUP("LULUCF|NOx|Premature mortality", US_national_yearly!$D:$AM, 10, FALSE), 1)</f>
        <v>4.9023250735872753E-5</v>
      </c>
      <c r="W2" s="7">
        <f>$B2 * IFERROR(VLOOKUP("LULUCF|NOx|Premature mortality", US_national_yearly!$D:$AM, 31, FALSE) / VLOOKUP("LULUCF|NOx|Premature mortality", US_national_yearly!$D:$AM, 10, FALSE), 1)</f>
        <v>4.9242412379399428E-5</v>
      </c>
      <c r="X2" s="7">
        <f>$B2 * IFERROR(VLOOKUP("LULUCF|NOx|Premature mortality", US_national_yearly!$D:$AM, 32, FALSE) / VLOOKUP("LULUCF|NOx|Premature mortality", US_national_yearly!$D:$AM, 10, FALSE), 1)</f>
        <v>4.9250004012931403E-5</v>
      </c>
      <c r="Y2" s="7">
        <f>$B2 * IFERROR(VLOOKUP("LULUCF|NOx|Premature mortality", US_national_yearly!$D:$AM, 33, FALSE) / VLOOKUP("LULUCF|NOx|Premature mortality", US_national_yearly!$D:$AM, 10, FALSE), 1)</f>
        <v>4.9257595646463379E-5</v>
      </c>
      <c r="Z2" s="7">
        <f>$B2 * IFERROR(VLOOKUP("LULUCF|NOx|Premature mortality", US_national_yearly!$D:$AM, 34, FALSE) / VLOOKUP("LULUCF|NOx|Premature mortality", US_national_yearly!$D:$AM, 10, FALSE), 1)</f>
        <v>4.9265187279995348E-5</v>
      </c>
      <c r="AA2" s="7">
        <f>$B2 * IFERROR(VLOOKUP("LULUCF|NOx|Premature mortality", US_national_yearly!$D:$AM, 35, FALSE) / VLOOKUP("LULUCF|NOx|Premature mortality", US_national_yearly!$D:$AM, 10, FALSE), 1)</f>
        <v>4.9272778913527331E-5</v>
      </c>
      <c r="AB2" s="7">
        <f>$B2 * IFERROR(VLOOKUP("LULUCF|NOx|Premature mortality", US_national_yearly!$D:$AM, 36, FALSE) / VLOOKUP("LULUCF|NOx|Premature mortality", US_national_yearly!$D:$AM, 10, FALSE), 1)</f>
        <v>4.92803705470593E-5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5.086112065590746E-8</v>
      </c>
      <c r="C3" s="7">
        <f>$B3 * IFERROR(VLOOKUP("LULUCF|NOx|Infant mortality", US_national_yearly!$D:$AM, 11, FALSE) / VLOOKUP("LULUCF|NOx|Infant mortality", US_national_yearly!$D:$AM, 10, FALSE), 1)</f>
        <v>5.0376538879259427E-8</v>
      </c>
      <c r="D3" s="7">
        <f>$B3 * IFERROR(VLOOKUP("LULUCF|NOx|Infant mortality", US_national_yearly!$D:$AM, 12, FALSE) / VLOOKUP("LULUCF|NOx|Infant mortality", US_national_yearly!$D:$AM, 10, FALSE), 1)</f>
        <v>4.9891957102611382E-8</v>
      </c>
      <c r="E3" s="7">
        <f>$B3 * IFERROR(VLOOKUP("LULUCF|NOx|Infant mortality", US_national_yearly!$D:$AM, 13, FALSE) / VLOOKUP("LULUCF|NOx|Infant mortality", US_national_yearly!$D:$AM, 10, FALSE), 1)</f>
        <v>4.9407375325963349E-8</v>
      </c>
      <c r="F3" s="7">
        <f>$B3 * IFERROR(VLOOKUP("LULUCF|NOx|Infant mortality", US_national_yearly!$D:$AM, 14, FALSE) / VLOOKUP("LULUCF|NOx|Infant mortality", US_national_yearly!$D:$AM, 10, FALSE), 1)</f>
        <v>4.8922793549315316E-8</v>
      </c>
      <c r="G3" s="7">
        <f>$B3 * IFERROR(VLOOKUP("LULUCF|NOx|Infant mortality", US_national_yearly!$D:$AM, 15, FALSE) / VLOOKUP("LULUCF|NOx|Infant mortality", US_national_yearly!$D:$AM, 10, FALSE), 1)</f>
        <v>3.2477366213654662E-8</v>
      </c>
      <c r="H3" s="7">
        <f>$B3 * IFERROR(VLOOKUP("LULUCF|NOx|Infant mortality", US_national_yearly!$D:$AM, 16, FALSE) / VLOOKUP("LULUCF|NOx|Infant mortality", US_national_yearly!$D:$AM, 10, FALSE), 1)</f>
        <v>1.6031938877994014E-8</v>
      </c>
      <c r="I3" s="7">
        <f>$B3 * IFERROR(VLOOKUP("LULUCF|NOx|Infant mortality", US_national_yearly!$D:$AM, 17, FALSE) / VLOOKUP("LULUCF|NOx|Infant mortality", US_national_yearly!$D:$AM, 10, FALSE), 1)</f>
        <v>1.5918577762768977E-8</v>
      </c>
      <c r="J3" s="7">
        <f>$B3 * IFERROR(VLOOKUP("LULUCF|NOx|Infant mortality", US_national_yearly!$D:$AM, 18, FALSE) / VLOOKUP("LULUCF|NOx|Infant mortality", US_national_yearly!$D:$AM, 10, FALSE), 1)</f>
        <v>1.5805216647543941E-8</v>
      </c>
      <c r="K3" s="7">
        <f>$B3 * IFERROR(VLOOKUP("LULUCF|NOx|Infant mortality", US_national_yearly!$D:$AM, 19, FALSE) / VLOOKUP("LULUCF|NOx|Infant mortality", US_national_yearly!$D:$AM, 10, FALSE), 1)</f>
        <v>1.5691855532318904E-8</v>
      </c>
      <c r="L3" s="7">
        <f>$B3 * IFERROR(VLOOKUP("LULUCF|NOx|Infant mortality", US_national_yearly!$D:$AM, 20, FALSE) / VLOOKUP("LULUCF|NOx|Infant mortality", US_national_yearly!$D:$AM, 10, FALSE), 1)</f>
        <v>1.557849441709387E-8</v>
      </c>
      <c r="M3" s="7">
        <f>$B3 * IFERROR(VLOOKUP("LULUCF|NOx|Infant mortality", US_national_yearly!$D:$AM, 21, FALSE) / VLOOKUP("LULUCF|NOx|Infant mortality", US_national_yearly!$D:$AM, 10, FALSE), 1)</f>
        <v>1.546513330186883E-8</v>
      </c>
      <c r="N3" s="7">
        <f>$B3 * IFERROR(VLOOKUP("LULUCF|NOx|Infant mortality", US_national_yearly!$D:$AM, 22, FALSE) / VLOOKUP("LULUCF|NOx|Infant mortality", US_national_yearly!$D:$AM, 10, FALSE), 1)</f>
        <v>1.5389888933492341E-8</v>
      </c>
      <c r="O3" s="7">
        <f>$B3 * IFERROR(VLOOKUP("LULUCF|NOx|Infant mortality", US_national_yearly!$D:$AM, 23, FALSE) / VLOOKUP("LULUCF|NOx|Infant mortality", US_national_yearly!$D:$AM, 10, FALSE), 1)</f>
        <v>1.5314644565115849E-8</v>
      </c>
      <c r="P3" s="7">
        <f>$B3 * IFERROR(VLOOKUP("LULUCF|NOx|Infant mortality", US_national_yearly!$D:$AM, 24, FALSE) / VLOOKUP("LULUCF|NOx|Infant mortality", US_national_yearly!$D:$AM, 10, FALSE), 1)</f>
        <v>1.5239400196739357E-8</v>
      </c>
      <c r="Q3" s="7">
        <f>$B3 * IFERROR(VLOOKUP("LULUCF|NOx|Infant mortality", US_national_yearly!$D:$AM, 25, FALSE) / VLOOKUP("LULUCF|NOx|Infant mortality", US_national_yearly!$D:$AM, 10, FALSE), 1)</f>
        <v>1.5164155828362865E-8</v>
      </c>
      <c r="R3" s="7">
        <f>$B3 * IFERROR(VLOOKUP("LULUCF|NOx|Infant mortality", US_national_yearly!$D:$AM, 26, FALSE) / VLOOKUP("LULUCF|NOx|Infant mortality", US_national_yearly!$D:$AM, 10, FALSE), 1)</f>
        <v>1.5088911459986376E-8</v>
      </c>
      <c r="S3" s="7">
        <f>$B3 * IFERROR(VLOOKUP("LULUCF|NOx|Infant mortality", US_national_yearly!$D:$AM, 27, FALSE) / VLOOKUP("LULUCF|NOx|Infant mortality", US_national_yearly!$D:$AM, 10, FALSE), 1)</f>
        <v>1.4998455763550507E-8</v>
      </c>
      <c r="T3" s="7">
        <f>$B3 * IFERROR(VLOOKUP("LULUCF|NOx|Infant mortality", US_national_yearly!$D:$AM, 28, FALSE) / VLOOKUP("LULUCF|NOx|Infant mortality", US_national_yearly!$D:$AM, 10, FALSE), 1)</f>
        <v>1.4908000067114639E-8</v>
      </c>
      <c r="U3" s="7">
        <f>$B3 * IFERROR(VLOOKUP("LULUCF|NOx|Infant mortality", US_national_yearly!$D:$AM, 29, FALSE) / VLOOKUP("LULUCF|NOx|Infant mortality", US_national_yearly!$D:$AM, 10, FALSE), 1)</f>
        <v>1.4817544370678771E-8</v>
      </c>
      <c r="V3" s="7">
        <f>$B3 * IFERROR(VLOOKUP("LULUCF|NOx|Infant mortality", US_national_yearly!$D:$AM, 30, FALSE) / VLOOKUP("LULUCF|NOx|Infant mortality", US_national_yearly!$D:$AM, 10, FALSE), 1)</f>
        <v>1.4727088674242903E-8</v>
      </c>
      <c r="W3" s="7">
        <f>$B3 * IFERROR(VLOOKUP("LULUCF|NOx|Infant mortality", US_national_yearly!$D:$AM, 31, FALSE) / VLOOKUP("LULUCF|NOx|Infant mortality", US_national_yearly!$D:$AM, 10, FALSE), 1)</f>
        <v>1.4636632977807035E-8</v>
      </c>
      <c r="X3" s="7">
        <f>$B3 * IFERROR(VLOOKUP("LULUCF|NOx|Infant mortality", US_national_yearly!$D:$AM, 32, FALSE) / VLOOKUP("LULUCF|NOx|Infant mortality", US_national_yearly!$D:$AM, 10, FALSE), 1)</f>
        <v>1.4540836021022506E-8</v>
      </c>
      <c r="Y3" s="7">
        <f>$B3 * IFERROR(VLOOKUP("LULUCF|NOx|Infant mortality", US_national_yearly!$D:$AM, 33, FALSE) / VLOOKUP("LULUCF|NOx|Infant mortality", US_national_yearly!$D:$AM, 10, FALSE), 1)</f>
        <v>1.4445039064237973E-8</v>
      </c>
      <c r="Z3" s="7">
        <f>$B3 * IFERROR(VLOOKUP("LULUCF|NOx|Infant mortality", US_national_yearly!$D:$AM, 34, FALSE) / VLOOKUP("LULUCF|NOx|Infant mortality", US_national_yearly!$D:$AM, 10, FALSE), 1)</f>
        <v>1.4349242107453439E-8</v>
      </c>
      <c r="AA3" s="7">
        <f>$B3 * IFERROR(VLOOKUP("LULUCF|NOx|Infant mortality", US_national_yearly!$D:$AM, 35, FALSE) / VLOOKUP("LULUCF|NOx|Infant mortality", US_national_yearly!$D:$AM, 10, FALSE), 1)</f>
        <v>1.4253445150668907E-8</v>
      </c>
      <c r="AB3" s="7">
        <f>$B3 * IFERROR(VLOOKUP("LULUCF|NOx|Infant mortality", US_national_yearly!$D:$AM, 36, FALSE) / VLOOKUP("LULUCF|NOx|Infant mortality", US_national_yearly!$D:$AM, 10, FALSE), 1)</f>
        <v>1.4157648193884375E-8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7.8597578252371015E-5</v>
      </c>
      <c r="C6" s="7">
        <f>$B6 * IFERROR(VLOOKUP("LULUCF|NOx|Asthma symptoms cough", US_national_yearly!$D:$AM, 11, FALSE) / VLOOKUP("LULUCF|NOx|Asthma symptoms cough", US_national_yearly!$D:$AM, 10, FALSE), 1)</f>
        <v>7.9672135649034667E-5</v>
      </c>
      <c r="D6" s="7">
        <f>$B6 * IFERROR(VLOOKUP("LULUCF|NOx|Asthma symptoms cough", US_national_yearly!$D:$AM, 12, FALSE) / VLOOKUP("LULUCF|NOx|Asthma symptoms cough", US_national_yearly!$D:$AM, 10, FALSE), 1)</f>
        <v>8.074669304569832E-5</v>
      </c>
      <c r="E6" s="7">
        <f>$B6 * IFERROR(VLOOKUP("LULUCF|NOx|Asthma symptoms cough", US_national_yearly!$D:$AM, 13, FALSE) / VLOOKUP("LULUCF|NOx|Asthma symptoms cough", US_national_yearly!$D:$AM, 10, FALSE), 1)</f>
        <v>8.1821250442361973E-5</v>
      </c>
      <c r="F6" s="7">
        <f>$B6 * IFERROR(VLOOKUP("LULUCF|NOx|Asthma symptoms cough", US_national_yearly!$D:$AM, 14, FALSE) / VLOOKUP("LULUCF|NOx|Asthma symptoms cough", US_national_yearly!$D:$AM, 10, FALSE), 1)</f>
        <v>8.2895807839025612E-5</v>
      </c>
      <c r="G6" s="7">
        <f>$B6 * IFERROR(VLOOKUP("LULUCF|NOx|Asthma symptoms cough", US_national_yearly!$D:$AM, 15, FALSE) / VLOOKUP("LULUCF|NOx|Asthma symptoms cough", US_national_yearly!$D:$AM, 10, FALSE), 1)</f>
        <v>8.3753691761010056E-5</v>
      </c>
      <c r="H6" s="7">
        <f>$B6 * IFERROR(VLOOKUP("LULUCF|NOx|Asthma symptoms cough", US_national_yearly!$D:$AM, 16, FALSE) / VLOOKUP("LULUCF|NOx|Asthma symptoms cough", US_national_yearly!$D:$AM, 10, FALSE), 1)</f>
        <v>8.46115756829945E-5</v>
      </c>
      <c r="I6" s="7">
        <f>$B6 * IFERROR(VLOOKUP("LULUCF|NOx|Asthma symptoms cough", US_national_yearly!$D:$AM, 17, FALSE) / VLOOKUP("LULUCF|NOx|Asthma symptoms cough", US_national_yearly!$D:$AM, 10, FALSE), 1)</f>
        <v>8.4906847064846342E-5</v>
      </c>
      <c r="J6" s="7">
        <f>$B6 * IFERROR(VLOOKUP("LULUCF|NOx|Asthma symptoms cough", US_national_yearly!$D:$AM, 18, FALSE) / VLOOKUP("LULUCF|NOx|Asthma symptoms cough", US_national_yearly!$D:$AM, 10, FALSE), 1)</f>
        <v>8.5202118446698211E-5</v>
      </c>
      <c r="K6" s="7">
        <f>$B6 * IFERROR(VLOOKUP("LULUCF|NOx|Asthma symptoms cough", US_national_yearly!$D:$AM, 19, FALSE) / VLOOKUP("LULUCF|NOx|Asthma symptoms cough", US_national_yearly!$D:$AM, 10, FALSE), 1)</f>
        <v>8.549738982855004E-5</v>
      </c>
      <c r="L6" s="7">
        <f>$B6 * IFERROR(VLOOKUP("LULUCF|NOx|Asthma symptoms cough", US_national_yearly!$D:$AM, 20, FALSE) / VLOOKUP("LULUCF|NOx|Asthma symptoms cough", US_national_yearly!$D:$AM, 10, FALSE), 1)</f>
        <v>8.5792661210401882E-5</v>
      </c>
      <c r="M6" s="7">
        <f>$B6 * IFERROR(VLOOKUP("LULUCF|NOx|Asthma symptoms cough", US_national_yearly!$D:$AM, 21, FALSE) / VLOOKUP("LULUCF|NOx|Asthma symptoms cough", US_national_yearly!$D:$AM, 10, FALSE), 1)</f>
        <v>8.6087932592253752E-5</v>
      </c>
      <c r="N6" s="7">
        <f>$B6 * IFERROR(VLOOKUP("LULUCF|NOx|Asthma symptoms cough", US_national_yearly!$D:$AM, 22, FALSE) / VLOOKUP("LULUCF|NOx|Asthma symptoms cough", US_national_yearly!$D:$AM, 10, FALSE), 1)</f>
        <v>8.643032174756457E-5</v>
      </c>
      <c r="O6" s="7">
        <f>$B6 * IFERROR(VLOOKUP("LULUCF|NOx|Asthma symptoms cough", US_national_yearly!$D:$AM, 23, FALSE) / VLOOKUP("LULUCF|NOx|Asthma symptoms cough", US_national_yearly!$D:$AM, 10, FALSE), 1)</f>
        <v>8.6772710902875374E-5</v>
      </c>
      <c r="P6" s="7">
        <f>$B6 * IFERROR(VLOOKUP("LULUCF|NOx|Asthma symptoms cough", US_national_yearly!$D:$AM, 24, FALSE) / VLOOKUP("LULUCF|NOx|Asthma symptoms cough", US_national_yearly!$D:$AM, 10, FALSE), 1)</f>
        <v>8.7115100058186192E-5</v>
      </c>
      <c r="Q6" s="7">
        <f>$B6 * IFERROR(VLOOKUP("LULUCF|NOx|Asthma symptoms cough", US_national_yearly!$D:$AM, 25, FALSE) / VLOOKUP("LULUCF|NOx|Asthma symptoms cough", US_national_yearly!$D:$AM, 10, FALSE), 1)</f>
        <v>8.7457489213497037E-5</v>
      </c>
      <c r="R6" s="7">
        <f>$B6 * IFERROR(VLOOKUP("LULUCF|NOx|Asthma symptoms cough", US_national_yearly!$D:$AM, 26, FALSE) / VLOOKUP("LULUCF|NOx|Asthma symptoms cough", US_national_yearly!$D:$AM, 10, FALSE), 1)</f>
        <v>8.7799878368807841E-5</v>
      </c>
      <c r="S6" s="7">
        <f>$B6 * IFERROR(VLOOKUP("LULUCF|NOx|Asthma symptoms cough", US_national_yearly!$D:$AM, 27, FALSE) / VLOOKUP("LULUCF|NOx|Asthma symptoms cough", US_national_yearly!$D:$AM, 10, FALSE), 1)</f>
        <v>8.8247147655781696E-5</v>
      </c>
      <c r="T6" s="7">
        <f>$B6 * IFERROR(VLOOKUP("LULUCF|NOx|Asthma symptoms cough", US_national_yearly!$D:$AM, 28, FALSE) / VLOOKUP("LULUCF|NOx|Asthma symptoms cough", US_national_yearly!$D:$AM, 10, FALSE), 1)</f>
        <v>8.869441694275551E-5</v>
      </c>
      <c r="U6" s="7">
        <f>$B6 * IFERROR(VLOOKUP("LULUCF|NOx|Asthma symptoms cough", US_national_yearly!$D:$AM, 29, FALSE) / VLOOKUP("LULUCF|NOx|Asthma symptoms cough", US_national_yearly!$D:$AM, 10, FALSE), 1)</f>
        <v>8.9141686229729324E-5</v>
      </c>
      <c r="V6" s="7">
        <f>$B6 * IFERROR(VLOOKUP("LULUCF|NOx|Asthma symptoms cough", US_national_yearly!$D:$AM, 30, FALSE) / VLOOKUP("LULUCF|NOx|Asthma symptoms cough", US_national_yearly!$D:$AM, 10, FALSE), 1)</f>
        <v>8.9588955516703165E-5</v>
      </c>
      <c r="W6" s="7">
        <f>$B6 * IFERROR(VLOOKUP("LULUCF|NOx|Asthma symptoms cough", US_national_yearly!$D:$AM, 31, FALSE) / VLOOKUP("LULUCF|NOx|Asthma symptoms cough", US_national_yearly!$D:$AM, 10, FALSE), 1)</f>
        <v>9.0036224803676993E-5</v>
      </c>
      <c r="X6" s="7">
        <f>$B6 * IFERROR(VLOOKUP("LULUCF|NOx|Asthma symptoms cough", US_national_yearly!$D:$AM, 32, FALSE) / VLOOKUP("LULUCF|NOx|Asthma symptoms cough", US_national_yearly!$D:$AM, 10, FALSE), 1)</f>
        <v>9.0451802237408142E-5</v>
      </c>
      <c r="Y6" s="7">
        <f>$B6 * IFERROR(VLOOKUP("LULUCF|NOx|Asthma symptoms cough", US_national_yearly!$D:$AM, 33, FALSE) / VLOOKUP("LULUCF|NOx|Asthma symptoms cough", US_national_yearly!$D:$AM, 10, FALSE), 1)</f>
        <v>9.0867379671139291E-5</v>
      </c>
      <c r="Z6" s="7">
        <f>$B6 * IFERROR(VLOOKUP("LULUCF|NOx|Asthma symptoms cough", US_national_yearly!$D:$AM, 34, FALSE) / VLOOKUP("LULUCF|NOx|Asthma symptoms cough", US_national_yearly!$D:$AM, 10, FALSE), 1)</f>
        <v>9.128295710487044E-5</v>
      </c>
      <c r="AA6" s="7">
        <f>$B6 * IFERROR(VLOOKUP("LULUCF|NOx|Asthma symptoms cough", US_national_yearly!$D:$AM, 35, FALSE) / VLOOKUP("LULUCF|NOx|Asthma symptoms cough", US_national_yearly!$D:$AM, 10, FALSE), 1)</f>
        <v>9.1698534538601589E-5</v>
      </c>
      <c r="AB6" s="7">
        <f>$B6 * IFERROR(VLOOKUP("LULUCF|NOx|Asthma symptoms cough", US_national_yearly!$D:$AM, 36, FALSE) / VLOOKUP("LULUCF|NOx|Asthma symptoms cough", US_national_yearly!$D:$AM, 10, FALSE), 1)</f>
        <v>9.2114111972332766E-5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1.0584316953981111E-4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1.072902187130205E-4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1.0873726788622985E-4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1.1018431705943924E-4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1.1163136623264862E-4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1.1278663278499202E-4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1.1394189933733541E-4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1.1433952556726896E-4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1.147371517972025E-4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1.1513477802713606E-4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1.155324042570696E-4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1.1593003048700315E-4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1.1639110771231157E-4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1.1685218493762E-4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1.173132621629284E-4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1.1777433938823682E-4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1.1823541661354525E-4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1.1883773032349406E-4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1.1944004403344289E-4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1.200423577433917E-4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1.2064467145334048E-4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1.212469851632893E-4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1.2180662114323829E-4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1.2236625712318727E-4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1.2292589310313631E-4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1.2348552908308529E-4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1.2404516506303429E-4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1.617099761651636E-4</v>
      </c>
      <c r="C8" s="7">
        <f>$B8 * IFERROR(VLOOKUP("LULUCF|NOx|Asthma symptoms wheeze", US_national_yearly!$D:$AM, 11, FALSE) / VLOOKUP("LULUCF|NOx|Asthma symptoms wheeze", US_national_yearly!$D:$AM, 10, FALSE), 1)</f>
        <v>1.6392081592773544E-4</v>
      </c>
      <c r="D8" s="7">
        <f>$B8 * IFERROR(VLOOKUP("LULUCF|NOx|Asthma symptoms wheeze", US_national_yearly!$D:$AM, 12, FALSE) / VLOOKUP("LULUCF|NOx|Asthma symptoms wheeze", US_national_yearly!$D:$AM, 10, FALSE), 1)</f>
        <v>1.6613165569030739E-4</v>
      </c>
      <c r="E8" s="7">
        <f>$B8 * IFERROR(VLOOKUP("LULUCF|NOx|Asthma symptoms wheeze", US_national_yearly!$D:$AM, 13, FALSE) / VLOOKUP("LULUCF|NOx|Asthma symptoms wheeze", US_national_yearly!$D:$AM, 10, FALSE), 1)</f>
        <v>1.6834249545287923E-4</v>
      </c>
      <c r="F8" s="7">
        <f>$B8 * IFERROR(VLOOKUP("LULUCF|NOx|Asthma symptoms wheeze", US_national_yearly!$D:$AM, 14, FALSE) / VLOOKUP("LULUCF|NOx|Asthma symptoms wheeze", US_national_yearly!$D:$AM, 10, FALSE), 1)</f>
        <v>1.7055333521545106E-4</v>
      </c>
      <c r="G8" s="7">
        <f>$B8 * IFERROR(VLOOKUP("LULUCF|NOx|Asthma symptoms wheeze", US_national_yearly!$D:$AM, 15, FALSE) / VLOOKUP("LULUCF|NOx|Asthma symptoms wheeze", US_national_yearly!$D:$AM, 10, FALSE), 1)</f>
        <v>1.7231838182319494E-4</v>
      </c>
      <c r="H8" s="7">
        <f>$B8 * IFERROR(VLOOKUP("LULUCF|NOx|Asthma symptoms wheeze", US_national_yearly!$D:$AM, 16, FALSE) / VLOOKUP("LULUCF|NOx|Asthma symptoms wheeze", US_national_yearly!$D:$AM, 10, FALSE), 1)</f>
        <v>1.7408342843093882E-4</v>
      </c>
      <c r="I8" s="7">
        <f>$B8 * IFERROR(VLOOKUP("LULUCF|NOx|Asthma symptoms wheeze", US_national_yearly!$D:$AM, 17, FALSE) / VLOOKUP("LULUCF|NOx|Asthma symptoms wheeze", US_national_yearly!$D:$AM, 10, FALSE), 1)</f>
        <v>1.7469093224290057E-4</v>
      </c>
      <c r="J8" s="7">
        <f>$B8 * IFERROR(VLOOKUP("LULUCF|NOx|Asthma symptoms wheeze", US_national_yearly!$D:$AM, 18, FALSE) / VLOOKUP("LULUCF|NOx|Asthma symptoms wheeze", US_national_yearly!$D:$AM, 10, FALSE), 1)</f>
        <v>1.7529843605486239E-4</v>
      </c>
      <c r="K8" s="7">
        <f>$B8 * IFERROR(VLOOKUP("LULUCF|NOx|Asthma symptoms wheeze", US_national_yearly!$D:$AM, 19, FALSE) / VLOOKUP("LULUCF|NOx|Asthma symptoms wheeze", US_national_yearly!$D:$AM, 10, FALSE), 1)</f>
        <v>1.7590593986682412E-4</v>
      </c>
      <c r="L8" s="7">
        <f>$B8 * IFERROR(VLOOKUP("LULUCF|NOx|Asthma symptoms wheeze", US_national_yearly!$D:$AM, 20, FALSE) / VLOOKUP("LULUCF|NOx|Asthma symptoms wheeze", US_national_yearly!$D:$AM, 10, FALSE), 1)</f>
        <v>1.7651344367878593E-4</v>
      </c>
      <c r="M8" s="7">
        <f>$B8 * IFERROR(VLOOKUP("LULUCF|NOx|Asthma symptoms wheeze", US_national_yearly!$D:$AM, 21, FALSE) / VLOOKUP("LULUCF|NOx|Asthma symptoms wheeze", US_national_yearly!$D:$AM, 10, FALSE), 1)</f>
        <v>1.7712094749074771E-4</v>
      </c>
      <c r="N8" s="7">
        <f>$B8 * IFERROR(VLOOKUP("LULUCF|NOx|Asthma symptoms wheeze", US_national_yearly!$D:$AM, 22, FALSE) / VLOOKUP("LULUCF|NOx|Asthma symptoms wheeze", US_national_yearly!$D:$AM, 10, FALSE), 1)</f>
        <v>1.7782539340014861E-4</v>
      </c>
      <c r="O8" s="7">
        <f>$B8 * IFERROR(VLOOKUP("LULUCF|NOx|Asthma symptoms wheeze", US_national_yearly!$D:$AM, 23, FALSE) / VLOOKUP("LULUCF|NOx|Asthma symptoms wheeze", US_national_yearly!$D:$AM, 10, FALSE), 1)</f>
        <v>1.7852983930954954E-4</v>
      </c>
      <c r="P8" s="7">
        <f>$B8 * IFERROR(VLOOKUP("LULUCF|NOx|Asthma symptoms wheeze", US_national_yearly!$D:$AM, 24, FALSE) / VLOOKUP("LULUCF|NOx|Asthma symptoms wheeze", US_national_yearly!$D:$AM, 10, FALSE), 1)</f>
        <v>1.7923428521895044E-4</v>
      </c>
      <c r="Q8" s="7">
        <f>$B8 * IFERROR(VLOOKUP("LULUCF|NOx|Asthma symptoms wheeze", US_national_yearly!$D:$AM, 25, FALSE) / VLOOKUP("LULUCF|NOx|Asthma symptoms wheeze", US_national_yearly!$D:$AM, 10, FALSE), 1)</f>
        <v>1.7993873112835137E-4</v>
      </c>
      <c r="R8" s="7">
        <f>$B8 * IFERROR(VLOOKUP("LULUCF|NOx|Asthma symptoms wheeze", US_national_yearly!$D:$AM, 26, FALSE) / VLOOKUP("LULUCF|NOx|Asthma symptoms wheeze", US_national_yearly!$D:$AM, 10, FALSE), 1)</f>
        <v>1.8064317703775227E-4</v>
      </c>
      <c r="S8" s="7">
        <f>$B8 * IFERROR(VLOOKUP("LULUCF|NOx|Asthma symptoms wheeze", US_national_yearly!$D:$AM, 27, FALSE) / VLOOKUP("LULUCF|NOx|Asthma symptoms wheeze", US_national_yearly!$D:$AM, 10, FALSE), 1)</f>
        <v>1.8156340775924435E-4</v>
      </c>
      <c r="T8" s="7">
        <f>$B8 * IFERROR(VLOOKUP("LULUCF|NOx|Asthma symptoms wheeze", US_national_yearly!$D:$AM, 28, FALSE) / VLOOKUP("LULUCF|NOx|Asthma symptoms wheeze", US_national_yearly!$D:$AM, 10, FALSE), 1)</f>
        <v>1.8248363848073643E-4</v>
      </c>
      <c r="U8" s="7">
        <f>$B8 * IFERROR(VLOOKUP("LULUCF|NOx|Asthma symptoms wheeze", US_national_yearly!$D:$AM, 29, FALSE) / VLOOKUP("LULUCF|NOx|Asthma symptoms wheeze", US_national_yearly!$D:$AM, 10, FALSE), 1)</f>
        <v>1.8340386920222851E-4</v>
      </c>
      <c r="V8" s="7">
        <f>$B8 * IFERROR(VLOOKUP("LULUCF|NOx|Asthma symptoms wheeze", US_national_yearly!$D:$AM, 30, FALSE) / VLOOKUP("LULUCF|NOx|Asthma symptoms wheeze", US_national_yearly!$D:$AM, 10, FALSE), 1)</f>
        <v>1.8432409992372062E-4</v>
      </c>
      <c r="W8" s="7">
        <f>$B8 * IFERROR(VLOOKUP("LULUCF|NOx|Asthma symptoms wheeze", US_national_yearly!$D:$AM, 31, FALSE) / VLOOKUP("LULUCF|NOx|Asthma symptoms wheeze", US_national_yearly!$D:$AM, 10, FALSE), 1)</f>
        <v>1.8524433064521264E-4</v>
      </c>
      <c r="X8" s="7">
        <f>$B8 * IFERROR(VLOOKUP("LULUCF|NOx|Asthma symptoms wheeze", US_national_yearly!$D:$AM, 32, FALSE) / VLOOKUP("LULUCF|NOx|Asthma symptoms wheeze", US_national_yearly!$D:$AM, 10, FALSE), 1)</f>
        <v>1.8609935720904352E-4</v>
      </c>
      <c r="Y8" s="7">
        <f>$B8 * IFERROR(VLOOKUP("LULUCF|NOx|Asthma symptoms wheeze", US_national_yearly!$D:$AM, 33, FALSE) / VLOOKUP("LULUCF|NOx|Asthma symptoms wheeze", US_national_yearly!$D:$AM, 10, FALSE), 1)</f>
        <v>1.8695438377287435E-4</v>
      </c>
      <c r="Z8" s="7">
        <f>$B8 * IFERROR(VLOOKUP("LULUCF|NOx|Asthma symptoms wheeze", US_national_yearly!$D:$AM, 34, FALSE) / VLOOKUP("LULUCF|NOx|Asthma symptoms wheeze", US_national_yearly!$D:$AM, 10, FALSE), 1)</f>
        <v>1.878094103367052E-4</v>
      </c>
      <c r="AA8" s="7">
        <f>$B8 * IFERROR(VLOOKUP("LULUCF|NOx|Asthma symptoms wheeze", US_national_yearly!$D:$AM, 35, FALSE) / VLOOKUP("LULUCF|NOx|Asthma symptoms wheeze", US_national_yearly!$D:$AM, 10, FALSE), 1)</f>
        <v>1.8866443690053602E-4</v>
      </c>
      <c r="AB8" s="7">
        <f>$B8 * IFERROR(VLOOKUP("LULUCF|NOx|Asthma symptoms wheeze", US_national_yearly!$D:$AM, 36, FALSE) / VLOOKUP("LULUCF|NOx|Asthma symptoms wheeze", US_national_yearly!$D:$AM, 10, FALSE), 1)</f>
        <v>1.8951946346436687E-4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2.9046695849163106E-6</v>
      </c>
      <c r="C12" s="7">
        <f>$B12 * IFERROR(VLOOKUP("LULUCF|NOx|Respiratory hospital admissions", US_national_yearly!$D:$AM, 11, FALSE) / VLOOKUP("LULUCF|NOx|Respiratory hospital admissions", US_national_yearly!$D:$AM, 10, FALSE), 1)</f>
        <v>2.9771255937838661E-6</v>
      </c>
      <c r="D12" s="7">
        <f>$B12 * IFERROR(VLOOKUP("LULUCF|NOx|Respiratory hospital admissions", US_national_yearly!$D:$AM, 12, FALSE) / VLOOKUP("LULUCF|NOx|Respiratory hospital admissions", US_national_yearly!$D:$AM, 10, FALSE), 1)</f>
        <v>3.0495816026514225E-6</v>
      </c>
      <c r="E12" s="7">
        <f>$B12 * IFERROR(VLOOKUP("LULUCF|NOx|Respiratory hospital admissions", US_national_yearly!$D:$AM, 13, FALSE) / VLOOKUP("LULUCF|NOx|Respiratory hospital admissions", US_national_yearly!$D:$AM, 10, FALSE), 1)</f>
        <v>3.1220376115189784E-6</v>
      </c>
      <c r="F12" s="7">
        <f>$B12 * IFERROR(VLOOKUP("LULUCF|NOx|Respiratory hospital admissions", US_national_yearly!$D:$AM, 14, FALSE) / VLOOKUP("LULUCF|NOx|Respiratory hospital admissions", US_national_yearly!$D:$AM, 10, FALSE), 1)</f>
        <v>3.1944936203865348E-6</v>
      </c>
      <c r="G12" s="7">
        <f>$B12 * IFERROR(VLOOKUP("LULUCF|NOx|Respiratory hospital admissions", US_national_yearly!$D:$AM, 15, FALSE) / VLOOKUP("LULUCF|NOx|Respiratory hospital admissions", US_national_yearly!$D:$AM, 10, FALSE), 1)</f>
        <v>3.263764030972906E-6</v>
      </c>
      <c r="H12" s="7">
        <f>$B12 * IFERROR(VLOOKUP("LULUCF|NOx|Respiratory hospital admissions", US_national_yearly!$D:$AM, 16, FALSE) / VLOOKUP("LULUCF|NOx|Respiratory hospital admissions", US_national_yearly!$D:$AM, 10, FALSE), 1)</f>
        <v>3.3330344415592772E-6</v>
      </c>
      <c r="I12" s="7">
        <f>$B12 * IFERROR(VLOOKUP("LULUCF|NOx|Respiratory hospital admissions", US_national_yearly!$D:$AM, 17, FALSE) / VLOOKUP("LULUCF|NOx|Respiratory hospital admissions", US_national_yearly!$D:$AM, 10, FALSE), 1)</f>
        <v>3.3918464442026329E-6</v>
      </c>
      <c r="J12" s="7">
        <f>$B12 * IFERROR(VLOOKUP("LULUCF|NOx|Respiratory hospital admissions", US_national_yearly!$D:$AM, 18, FALSE) / VLOOKUP("LULUCF|NOx|Respiratory hospital admissions", US_national_yearly!$D:$AM, 10, FALSE), 1)</f>
        <v>3.4506584468459874E-6</v>
      </c>
      <c r="K12" s="7">
        <f>$B12 * IFERROR(VLOOKUP("LULUCF|NOx|Respiratory hospital admissions", US_national_yearly!$D:$AM, 19, FALSE) / VLOOKUP("LULUCF|NOx|Respiratory hospital admissions", US_national_yearly!$D:$AM, 10, FALSE), 1)</f>
        <v>3.5094704494893431E-6</v>
      </c>
      <c r="L12" s="7">
        <f>$B12 * IFERROR(VLOOKUP("LULUCF|NOx|Respiratory hospital admissions", US_national_yearly!$D:$AM, 20, FALSE) / VLOOKUP("LULUCF|NOx|Respiratory hospital admissions", US_national_yearly!$D:$AM, 10, FALSE), 1)</f>
        <v>3.5682824521326984E-6</v>
      </c>
      <c r="M12" s="7">
        <f>$B12 * IFERROR(VLOOKUP("LULUCF|NOx|Respiratory hospital admissions", US_national_yearly!$D:$AM, 21, FALSE) / VLOOKUP("LULUCF|NOx|Respiratory hospital admissions", US_national_yearly!$D:$AM, 10, FALSE), 1)</f>
        <v>3.6270944547760537E-6</v>
      </c>
      <c r="N12" s="7">
        <f>$B12 * IFERROR(VLOOKUP("LULUCF|NOx|Respiratory hospital admissions", US_national_yearly!$D:$AM, 22, FALSE) / VLOOKUP("LULUCF|NOx|Respiratory hospital admissions", US_national_yearly!$D:$AM, 10, FALSE), 1)</f>
        <v>3.6664113374273287E-6</v>
      </c>
      <c r="O12" s="7">
        <f>$B12 * IFERROR(VLOOKUP("LULUCF|NOx|Respiratory hospital admissions", US_national_yearly!$D:$AM, 23, FALSE) / VLOOKUP("LULUCF|NOx|Respiratory hospital admissions", US_national_yearly!$D:$AM, 10, FALSE), 1)</f>
        <v>3.7057282200786049E-6</v>
      </c>
      <c r="P12" s="7">
        <f>$B12 * IFERROR(VLOOKUP("LULUCF|NOx|Respiratory hospital admissions", US_national_yearly!$D:$AM, 24, FALSE) / VLOOKUP("LULUCF|NOx|Respiratory hospital admissions", US_national_yearly!$D:$AM, 10, FALSE), 1)</f>
        <v>3.7450451027298807E-6</v>
      </c>
      <c r="Q12" s="7">
        <f>$B12 * IFERROR(VLOOKUP("LULUCF|NOx|Respiratory hospital admissions", US_national_yearly!$D:$AM, 25, FALSE) / VLOOKUP("LULUCF|NOx|Respiratory hospital admissions", US_national_yearly!$D:$AM, 10, FALSE), 1)</f>
        <v>3.784361985381157E-6</v>
      </c>
      <c r="R12" s="7">
        <f>$B12 * IFERROR(VLOOKUP("LULUCF|NOx|Respiratory hospital admissions", US_national_yearly!$D:$AM, 26, FALSE) / VLOOKUP("LULUCF|NOx|Respiratory hospital admissions", US_national_yearly!$D:$AM, 10, FALSE), 1)</f>
        <v>3.8236788680324324E-6</v>
      </c>
      <c r="S12" s="7">
        <f>$B12 * IFERROR(VLOOKUP("LULUCF|NOx|Respiratory hospital admissions", US_national_yearly!$D:$AM, 27, FALSE) / VLOOKUP("LULUCF|NOx|Respiratory hospital admissions", US_national_yearly!$D:$AM, 10, FALSE), 1)</f>
        <v>3.8447437883928706E-6</v>
      </c>
      <c r="T12" s="7">
        <f>$B12 * IFERROR(VLOOKUP("LULUCF|NOx|Respiratory hospital admissions", US_national_yearly!$D:$AM, 28, FALSE) / VLOOKUP("LULUCF|NOx|Respiratory hospital admissions", US_national_yearly!$D:$AM, 10, FALSE), 1)</f>
        <v>3.8658087087533089E-6</v>
      </c>
      <c r="U12" s="7">
        <f>$B12 * IFERROR(VLOOKUP("LULUCF|NOx|Respiratory hospital admissions", US_national_yearly!$D:$AM, 29, FALSE) / VLOOKUP("LULUCF|NOx|Respiratory hospital admissions", US_national_yearly!$D:$AM, 10, FALSE), 1)</f>
        <v>3.8868736291137472E-6</v>
      </c>
      <c r="V12" s="7">
        <f>$B12 * IFERROR(VLOOKUP("LULUCF|NOx|Respiratory hospital admissions", US_national_yearly!$D:$AM, 30, FALSE) / VLOOKUP("LULUCF|NOx|Respiratory hospital admissions", US_national_yearly!$D:$AM, 10, FALSE), 1)</f>
        <v>3.9079385494741854E-6</v>
      </c>
      <c r="W12" s="7">
        <f>$B12 * IFERROR(VLOOKUP("LULUCF|NOx|Respiratory hospital admissions", US_national_yearly!$D:$AM, 31, FALSE) / VLOOKUP("LULUCF|NOx|Respiratory hospital admissions", US_national_yearly!$D:$AM, 10, FALSE), 1)</f>
        <v>3.9290034698346245E-6</v>
      </c>
      <c r="X12" s="7">
        <f>$B12 * IFERROR(VLOOKUP("LULUCF|NOx|Respiratory hospital admissions", US_national_yearly!$D:$AM, 32, FALSE) / VLOOKUP("LULUCF|NOx|Respiratory hospital admissions", US_national_yearly!$D:$AM, 10, FALSE), 1)</f>
        <v>3.9433986062205746E-6</v>
      </c>
      <c r="Y12" s="7">
        <f>$B12 * IFERROR(VLOOKUP("LULUCF|NOx|Respiratory hospital admissions", US_national_yearly!$D:$AM, 33, FALSE) / VLOOKUP("LULUCF|NOx|Respiratory hospital admissions", US_national_yearly!$D:$AM, 10, FALSE), 1)</f>
        <v>3.9577937426065247E-6</v>
      </c>
      <c r="Z12" s="7">
        <f>$B12 * IFERROR(VLOOKUP("LULUCF|NOx|Respiratory hospital admissions", US_national_yearly!$D:$AM, 34, FALSE) / VLOOKUP("LULUCF|NOx|Respiratory hospital admissions", US_national_yearly!$D:$AM, 10, FALSE), 1)</f>
        <v>3.9721888789924757E-6</v>
      </c>
      <c r="AA12" s="7">
        <f>$B12 * IFERROR(VLOOKUP("LULUCF|NOx|Respiratory hospital admissions", US_national_yearly!$D:$AM, 35, FALSE) / VLOOKUP("LULUCF|NOx|Respiratory hospital admissions", US_national_yearly!$D:$AM, 10, FALSE), 1)</f>
        <v>3.9865840153784257E-6</v>
      </c>
      <c r="AB12" s="7">
        <f>$B12 * IFERROR(VLOOKUP("LULUCF|NOx|Respiratory hospital admissions", US_national_yearly!$D:$AM, 36, FALSE) / VLOOKUP("LULUCF|NOx|Respiratory hospital admissions", US_national_yearly!$D:$AM, 10, FALSE), 1)</f>
        <v>4.0009791517643758E-6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1.2992152329148439E-5</v>
      </c>
      <c r="C13" s="7">
        <f>$B13 * IFERROR(VLOOKUP("LULUCF|NOx|Non-fatal heart attacks", US_national_yearly!$D:$AM, 11, FALSE) / VLOOKUP("LULUCF|NOx|Non-fatal heart attacks", US_national_yearly!$D:$AM, 10, FALSE), 1)</f>
        <v>1.3363586517422258E-5</v>
      </c>
      <c r="D13" s="7">
        <f>$B13 * IFERROR(VLOOKUP("LULUCF|NOx|Non-fatal heart attacks", US_national_yearly!$D:$AM, 12, FALSE) / VLOOKUP("LULUCF|NOx|Non-fatal heart attacks", US_national_yearly!$D:$AM, 10, FALSE), 1)</f>
        <v>1.3735020705696075E-5</v>
      </c>
      <c r="E13" s="7">
        <f>$B13 * IFERROR(VLOOKUP("LULUCF|NOx|Non-fatal heart attacks", US_national_yearly!$D:$AM, 13, FALSE) / VLOOKUP("LULUCF|NOx|Non-fatal heart attacks", US_national_yearly!$D:$AM, 10, FALSE), 1)</f>
        <v>1.4106454893969891E-5</v>
      </c>
      <c r="F13" s="7">
        <f>$B13 * IFERROR(VLOOKUP("LULUCF|NOx|Non-fatal heart attacks", US_national_yearly!$D:$AM, 14, FALSE) / VLOOKUP("LULUCF|NOx|Non-fatal heart attacks", US_national_yearly!$D:$AM, 10, FALSE), 1)</f>
        <v>1.447788908224371E-5</v>
      </c>
      <c r="G13" s="7">
        <f>$B13 * IFERROR(VLOOKUP("LULUCF|NOx|Non-fatal heart attacks", US_national_yearly!$D:$AM, 15, FALSE) / VLOOKUP("LULUCF|NOx|Non-fatal heart attacks", US_national_yearly!$D:$AM, 10, FALSE), 1)</f>
        <v>1.4824993559216419E-5</v>
      </c>
      <c r="H13" s="7">
        <f>$B13 * IFERROR(VLOOKUP("LULUCF|NOx|Non-fatal heart attacks", US_national_yearly!$D:$AM, 16, FALSE) / VLOOKUP("LULUCF|NOx|Non-fatal heart attacks", US_national_yearly!$D:$AM, 10, FALSE), 1)</f>
        <v>1.5172098036189128E-5</v>
      </c>
      <c r="I13" s="7">
        <f>$B13 * IFERROR(VLOOKUP("LULUCF|NOx|Non-fatal heart attacks", US_national_yearly!$D:$AM, 17, FALSE) / VLOOKUP("LULUCF|NOx|Non-fatal heart attacks", US_national_yearly!$D:$AM, 10, FALSE), 1)</f>
        <v>1.5445750238451898E-5</v>
      </c>
      <c r="J13" s="7">
        <f>$B13 * IFERROR(VLOOKUP("LULUCF|NOx|Non-fatal heart attacks", US_national_yearly!$D:$AM, 18, FALSE) / VLOOKUP("LULUCF|NOx|Non-fatal heart attacks", US_national_yearly!$D:$AM, 10, FALSE), 1)</f>
        <v>1.5719402440714674E-5</v>
      </c>
      <c r="K13" s="7">
        <f>$B13 * IFERROR(VLOOKUP("LULUCF|NOx|Non-fatal heart attacks", US_national_yearly!$D:$AM, 19, FALSE) / VLOOKUP("LULUCF|NOx|Non-fatal heart attacks", US_national_yearly!$D:$AM, 10, FALSE), 1)</f>
        <v>1.5993054642977433E-5</v>
      </c>
      <c r="L13" s="7">
        <f>$B13 * IFERROR(VLOOKUP("LULUCF|NOx|Non-fatal heart attacks", US_national_yearly!$D:$AM, 20, FALSE) / VLOOKUP("LULUCF|NOx|Non-fatal heart attacks", US_national_yearly!$D:$AM, 10, FALSE), 1)</f>
        <v>1.6266706845240217E-5</v>
      </c>
      <c r="M13" s="7">
        <f>$B13 * IFERROR(VLOOKUP("LULUCF|NOx|Non-fatal heart attacks", US_national_yearly!$D:$AM, 21, FALSE) / VLOOKUP("LULUCF|NOx|Non-fatal heart attacks", US_national_yearly!$D:$AM, 10, FALSE), 1)</f>
        <v>1.6540359047502983E-5</v>
      </c>
      <c r="N13" s="7">
        <f>$B13 * IFERROR(VLOOKUP("LULUCF|NOx|Non-fatal heart attacks", US_national_yearly!$D:$AM, 22, FALSE) / VLOOKUP("LULUCF|NOx|Non-fatal heart attacks", US_national_yearly!$D:$AM, 10, FALSE), 1)</f>
        <v>1.6704996511319051E-5</v>
      </c>
      <c r="O13" s="7">
        <f>$B13 * IFERROR(VLOOKUP("LULUCF|NOx|Non-fatal heart attacks", US_national_yearly!$D:$AM, 23, FALSE) / VLOOKUP("LULUCF|NOx|Non-fatal heart attacks", US_national_yearly!$D:$AM, 10, FALSE), 1)</f>
        <v>1.6869633975135119E-5</v>
      </c>
      <c r="P13" s="7">
        <f>$B13 * IFERROR(VLOOKUP("LULUCF|NOx|Non-fatal heart attacks", US_national_yearly!$D:$AM, 24, FALSE) / VLOOKUP("LULUCF|NOx|Non-fatal heart attacks", US_national_yearly!$D:$AM, 10, FALSE), 1)</f>
        <v>1.7034271438951187E-5</v>
      </c>
      <c r="Q13" s="7">
        <f>$B13 * IFERROR(VLOOKUP("LULUCF|NOx|Non-fatal heart attacks", US_national_yearly!$D:$AM, 25, FALSE) / VLOOKUP("LULUCF|NOx|Non-fatal heart attacks", US_national_yearly!$D:$AM, 10, FALSE), 1)</f>
        <v>1.7198908902767255E-5</v>
      </c>
      <c r="R13" s="7">
        <f>$B13 * IFERROR(VLOOKUP("LULUCF|NOx|Non-fatal heart attacks", US_national_yearly!$D:$AM, 26, FALSE) / VLOOKUP("LULUCF|NOx|Non-fatal heart attacks", US_national_yearly!$D:$AM, 10, FALSE), 1)</f>
        <v>1.7363546366583323E-5</v>
      </c>
      <c r="S13" s="7">
        <f>$B13 * IFERROR(VLOOKUP("LULUCF|NOx|Non-fatal heart attacks", US_national_yearly!$D:$AM, 27, FALSE) / VLOOKUP("LULUCF|NOx|Non-fatal heart attacks", US_national_yearly!$D:$AM, 10, FALSE), 1)</f>
        <v>1.7438227058864239E-5</v>
      </c>
      <c r="T13" s="7">
        <f>$B13 * IFERROR(VLOOKUP("LULUCF|NOx|Non-fatal heart attacks", US_national_yearly!$D:$AM, 28, FALSE) / VLOOKUP("LULUCF|NOx|Non-fatal heart attacks", US_national_yearly!$D:$AM, 10, FALSE), 1)</f>
        <v>1.7512907751145154E-5</v>
      </c>
      <c r="U13" s="7">
        <f>$B13 * IFERROR(VLOOKUP("LULUCF|NOx|Non-fatal heart attacks", US_national_yearly!$D:$AM, 29, FALSE) / VLOOKUP("LULUCF|NOx|Non-fatal heart attacks", US_national_yearly!$D:$AM, 10, FALSE), 1)</f>
        <v>1.7587588443426069E-5</v>
      </c>
      <c r="V13" s="7">
        <f>$B13 * IFERROR(VLOOKUP("LULUCF|NOx|Non-fatal heart attacks", US_national_yearly!$D:$AM, 30, FALSE) / VLOOKUP("LULUCF|NOx|Non-fatal heart attacks", US_national_yearly!$D:$AM, 10, FALSE), 1)</f>
        <v>1.7662269135706984E-5</v>
      </c>
      <c r="W13" s="7">
        <f>$B13 * IFERROR(VLOOKUP("LULUCF|NOx|Non-fatal heart attacks", US_national_yearly!$D:$AM, 31, FALSE) / VLOOKUP("LULUCF|NOx|Non-fatal heart attacks", US_national_yearly!$D:$AM, 10, FALSE), 1)</f>
        <v>1.77369498279879E-5</v>
      </c>
      <c r="X13" s="7">
        <f>$B13 * IFERROR(VLOOKUP("LULUCF|NOx|Non-fatal heart attacks", US_national_yearly!$D:$AM, 32, FALSE) / VLOOKUP("LULUCF|NOx|Non-fatal heart attacks", US_national_yearly!$D:$AM, 10, FALSE), 1)</f>
        <v>1.7786855396134396E-5</v>
      </c>
      <c r="Y13" s="7">
        <f>$B13 * IFERROR(VLOOKUP("LULUCF|NOx|Non-fatal heart attacks", US_national_yearly!$D:$AM, 33, FALSE) / VLOOKUP("LULUCF|NOx|Non-fatal heart attacks", US_national_yearly!$D:$AM, 10, FALSE), 1)</f>
        <v>1.7836760964280893E-5</v>
      </c>
      <c r="Z13" s="7">
        <f>$B13 * IFERROR(VLOOKUP("LULUCF|NOx|Non-fatal heart attacks", US_national_yearly!$D:$AM, 34, FALSE) / VLOOKUP("LULUCF|NOx|Non-fatal heart attacks", US_national_yearly!$D:$AM, 10, FALSE), 1)</f>
        <v>1.7886666532427384E-5</v>
      </c>
      <c r="AA13" s="7">
        <f>$B13 * IFERROR(VLOOKUP("LULUCF|NOx|Non-fatal heart attacks", US_national_yearly!$D:$AM, 35, FALSE) / VLOOKUP("LULUCF|NOx|Non-fatal heart attacks", US_national_yearly!$D:$AM, 10, FALSE), 1)</f>
        <v>1.793657210057388E-5</v>
      </c>
      <c r="AB13" s="7">
        <f>$B13 * IFERROR(VLOOKUP("LULUCF|NOx|Non-fatal heart attacks", US_national_yearly!$D:$AM, 36, FALSE) / VLOOKUP("LULUCF|NOx|Non-fatal heart attacks", US_national_yearly!$D:$AM, 10, FALSE), 1)</f>
        <v>1.7986477668720377E-5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1.1332600333185323E-2</v>
      </c>
      <c r="C14" s="7">
        <f>$B14 * IFERROR(VLOOKUP("LULUCF|NOx|Minor restricted activity days", US_national_yearly!$D:$AM, 11, FALSE) / VLOOKUP("LULUCF|NOx|Minor restricted activity days", US_national_yearly!$D:$AM, 10, FALSE), 1)</f>
        <v>1.1349975111317471E-2</v>
      </c>
      <c r="D14" s="7">
        <f>$B14 * IFERROR(VLOOKUP("LULUCF|NOx|Minor restricted activity days", US_national_yearly!$D:$AM, 12, FALSE) / VLOOKUP("LULUCF|NOx|Minor restricted activity days", US_national_yearly!$D:$AM, 10, FALSE), 1)</f>
        <v>1.1367349889449622E-2</v>
      </c>
      <c r="E14" s="7">
        <f>$B14 * IFERROR(VLOOKUP("LULUCF|NOx|Minor restricted activity days", US_national_yearly!$D:$AM, 13, FALSE) / VLOOKUP("LULUCF|NOx|Minor restricted activity days", US_national_yearly!$D:$AM, 10, FALSE), 1)</f>
        <v>1.1384724667581773E-2</v>
      </c>
      <c r="F14" s="7">
        <f>$B14 * IFERROR(VLOOKUP("LULUCF|NOx|Minor restricted activity days", US_national_yearly!$D:$AM, 14, FALSE) / VLOOKUP("LULUCF|NOx|Minor restricted activity days", US_national_yearly!$D:$AM, 10, FALSE), 1)</f>
        <v>1.1402099445713923E-2</v>
      </c>
      <c r="G14" s="7">
        <f>$B14 * IFERROR(VLOOKUP("LULUCF|NOx|Minor restricted activity days", US_national_yearly!$D:$AM, 15, FALSE) / VLOOKUP("LULUCF|NOx|Minor restricted activity days", US_national_yearly!$D:$AM, 10, FALSE), 1)</f>
        <v>1.1433474159468026E-2</v>
      </c>
      <c r="H14" s="7">
        <f>$B14 * IFERROR(VLOOKUP("LULUCF|NOx|Minor restricted activity days", US_national_yearly!$D:$AM, 16, FALSE) / VLOOKUP("LULUCF|NOx|Minor restricted activity days", US_national_yearly!$D:$AM, 10, FALSE), 1)</f>
        <v>1.1464848873222128E-2</v>
      </c>
      <c r="I14" s="7">
        <f>$B14 * IFERROR(VLOOKUP("LULUCF|NOx|Minor restricted activity days", US_national_yearly!$D:$AM, 17, FALSE) / VLOOKUP("LULUCF|NOx|Minor restricted activity days", US_national_yearly!$D:$AM, 10, FALSE), 1)</f>
        <v>1.1526216572640594E-2</v>
      </c>
      <c r="J14" s="7">
        <f>$B14 * IFERROR(VLOOKUP("LULUCF|NOx|Minor restricted activity days", US_national_yearly!$D:$AM, 18, FALSE) / VLOOKUP("LULUCF|NOx|Minor restricted activity days", US_national_yearly!$D:$AM, 10, FALSE), 1)</f>
        <v>1.1587584272059056E-2</v>
      </c>
      <c r="K14" s="7">
        <f>$B14 * IFERROR(VLOOKUP("LULUCF|NOx|Minor restricted activity days", US_national_yearly!$D:$AM, 19, FALSE) / VLOOKUP("LULUCF|NOx|Minor restricted activity days", US_national_yearly!$D:$AM, 10, FALSE), 1)</f>
        <v>1.1648951971477519E-2</v>
      </c>
      <c r="L14" s="7">
        <f>$B14 * IFERROR(VLOOKUP("LULUCF|NOx|Minor restricted activity days", US_national_yearly!$D:$AM, 20, FALSE) / VLOOKUP("LULUCF|NOx|Minor restricted activity days", US_national_yearly!$D:$AM, 10, FALSE), 1)</f>
        <v>1.1710319670895983E-2</v>
      </c>
      <c r="M14" s="7">
        <f>$B14 * IFERROR(VLOOKUP("LULUCF|NOx|Minor restricted activity days", US_national_yearly!$D:$AM, 21, FALSE) / VLOOKUP("LULUCF|NOx|Minor restricted activity days", US_national_yearly!$D:$AM, 10, FALSE), 1)</f>
        <v>1.1771687370314447E-2</v>
      </c>
      <c r="N14" s="7">
        <f>$B14 * IFERROR(VLOOKUP("LULUCF|NOx|Minor restricted activity days", US_national_yearly!$D:$AM, 22, FALSE) / VLOOKUP("LULUCF|NOx|Minor restricted activity days", US_national_yearly!$D:$AM, 10, FALSE), 1)</f>
        <v>1.1859552001057233E-2</v>
      </c>
      <c r="O14" s="7">
        <f>$B14 * IFERROR(VLOOKUP("LULUCF|NOx|Minor restricted activity days", US_national_yearly!$D:$AM, 23, FALSE) / VLOOKUP("LULUCF|NOx|Minor restricted activity days", US_national_yearly!$D:$AM, 10, FALSE), 1)</f>
        <v>1.1947416631800017E-2</v>
      </c>
      <c r="P14" s="7">
        <f>$B14 * IFERROR(VLOOKUP("LULUCF|NOx|Minor restricted activity days", US_national_yearly!$D:$AM, 24, FALSE) / VLOOKUP("LULUCF|NOx|Minor restricted activity days", US_national_yearly!$D:$AM, 10, FALSE), 1)</f>
        <v>1.2035281262542802E-2</v>
      </c>
      <c r="Q14" s="7">
        <f>$B14 * IFERROR(VLOOKUP("LULUCF|NOx|Minor restricted activity days", US_national_yearly!$D:$AM, 25, FALSE) / VLOOKUP("LULUCF|NOx|Minor restricted activity days", US_national_yearly!$D:$AM, 10, FALSE), 1)</f>
        <v>1.2123145893285588E-2</v>
      </c>
      <c r="R14" s="7">
        <f>$B14 * IFERROR(VLOOKUP("LULUCF|NOx|Minor restricted activity days", US_national_yearly!$D:$AM, 26, FALSE) / VLOOKUP("LULUCF|NOx|Minor restricted activity days", US_national_yearly!$D:$AM, 10, FALSE), 1)</f>
        <v>1.2211010524028372E-2</v>
      </c>
      <c r="S14" s="7">
        <f>$B14 * IFERROR(VLOOKUP("LULUCF|NOx|Minor restricted activity days", US_national_yearly!$D:$AM, 27, FALSE) / VLOOKUP("LULUCF|NOx|Minor restricted activity days", US_national_yearly!$D:$AM, 10, FALSE), 1)</f>
        <v>1.2298856681420604E-2</v>
      </c>
      <c r="T14" s="7">
        <f>$B14 * IFERROR(VLOOKUP("LULUCF|NOx|Minor restricted activity days", US_national_yearly!$D:$AM, 28, FALSE) / VLOOKUP("LULUCF|NOx|Minor restricted activity days", US_national_yearly!$D:$AM, 10, FALSE), 1)</f>
        <v>1.2386702838812835E-2</v>
      </c>
      <c r="U14" s="7">
        <f>$B14 * IFERROR(VLOOKUP("LULUCF|NOx|Minor restricted activity days", US_national_yearly!$D:$AM, 29, FALSE) / VLOOKUP("LULUCF|NOx|Minor restricted activity days", US_national_yearly!$D:$AM, 10, FALSE), 1)</f>
        <v>1.2474548996205067E-2</v>
      </c>
      <c r="V14" s="7">
        <f>$B14 * IFERROR(VLOOKUP("LULUCF|NOx|Minor restricted activity days", US_national_yearly!$D:$AM, 30, FALSE) / VLOOKUP("LULUCF|NOx|Minor restricted activity days", US_national_yearly!$D:$AM, 10, FALSE), 1)</f>
        <v>1.2562395153597297E-2</v>
      </c>
      <c r="W14" s="7">
        <f>$B14 * IFERROR(VLOOKUP("LULUCF|NOx|Minor restricted activity days", US_national_yearly!$D:$AM, 31, FALSE) / VLOOKUP("LULUCF|NOx|Minor restricted activity days", US_national_yearly!$D:$AM, 10, FALSE), 1)</f>
        <v>1.2650241310989527E-2</v>
      </c>
      <c r="X14" s="7">
        <f>$B14 * IFERROR(VLOOKUP("LULUCF|NOx|Minor restricted activity days", US_national_yearly!$D:$AM, 32, FALSE) / VLOOKUP("LULUCF|NOx|Minor restricted activity days", US_national_yearly!$D:$AM, 10, FALSE), 1)</f>
        <v>1.2724511890492392E-2</v>
      </c>
      <c r="Y14" s="7">
        <f>$B14 * IFERROR(VLOOKUP("LULUCF|NOx|Minor restricted activity days", US_national_yearly!$D:$AM, 33, FALSE) / VLOOKUP("LULUCF|NOx|Minor restricted activity days", US_national_yearly!$D:$AM, 10, FALSE), 1)</f>
        <v>1.2798782469995256E-2</v>
      </c>
      <c r="Z14" s="7">
        <f>$B14 * IFERROR(VLOOKUP("LULUCF|NOx|Minor restricted activity days", US_national_yearly!$D:$AM, 34, FALSE) / VLOOKUP("LULUCF|NOx|Minor restricted activity days", US_national_yearly!$D:$AM, 10, FALSE), 1)</f>
        <v>1.2873053049498122E-2</v>
      </c>
      <c r="AA14" s="7">
        <f>$B14 * IFERROR(VLOOKUP("LULUCF|NOx|Minor restricted activity days", US_national_yearly!$D:$AM, 35, FALSE) / VLOOKUP("LULUCF|NOx|Minor restricted activity days", US_national_yearly!$D:$AM, 10, FALSE), 1)</f>
        <v>1.2947323629000987E-2</v>
      </c>
      <c r="AB14" s="7">
        <f>$B14 * IFERROR(VLOOKUP("LULUCF|NOx|Minor restricted activity days", US_national_yearly!$D:$AM, 36, FALSE) / VLOOKUP("LULUCF|NOx|Minor restricted activity days", US_national_yearly!$D:$AM, 10, FALSE), 1)</f>
        <v>1.3021594208503852E-2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1.902461848776945E-3</v>
      </c>
      <c r="C15" s="7">
        <f>$B15 * IFERROR(VLOOKUP("LULUCF|NOx|Work loss days", US_national_yearly!$D:$AM, 11, FALSE) / VLOOKUP("LULUCF|NOx|Work loss days", US_national_yearly!$D:$AM, 10, FALSE), 1)</f>
        <v>1.9066937728135669E-3</v>
      </c>
      <c r="D15" s="7">
        <f>$B15 * IFERROR(VLOOKUP("LULUCF|NOx|Work loss days", US_national_yearly!$D:$AM, 12, FALSE) / VLOOKUP("LULUCF|NOx|Work loss days", US_national_yearly!$D:$AM, 10, FALSE), 1)</f>
        <v>1.9109256968501893E-3</v>
      </c>
      <c r="E15" s="7">
        <f>$B15 * IFERROR(VLOOKUP("LULUCF|NOx|Work loss days", US_national_yearly!$D:$AM, 13, FALSE) / VLOOKUP("LULUCF|NOx|Work loss days", US_national_yearly!$D:$AM, 10, FALSE), 1)</f>
        <v>1.9151576208868109E-3</v>
      </c>
      <c r="F15" s="7">
        <f>$B15 * IFERROR(VLOOKUP("LULUCF|NOx|Work loss days", US_national_yearly!$D:$AM, 14, FALSE) / VLOOKUP("LULUCF|NOx|Work loss days", US_national_yearly!$D:$AM, 10, FALSE), 1)</f>
        <v>1.9193895449234333E-3</v>
      </c>
      <c r="G15" s="7">
        <f>$B15 * IFERROR(VLOOKUP("LULUCF|NOx|Work loss days", US_national_yearly!$D:$AM, 15, FALSE) / VLOOKUP("LULUCF|NOx|Work loss days", US_national_yearly!$D:$AM, 10, FALSE), 1)</f>
        <v>1.9255681901170925E-3</v>
      </c>
      <c r="H15" s="7">
        <f>$B15 * IFERROR(VLOOKUP("LULUCF|NOx|Work loss days", US_national_yearly!$D:$AM, 16, FALSE) / VLOOKUP("LULUCF|NOx|Work loss days", US_national_yearly!$D:$AM, 10, FALSE), 1)</f>
        <v>1.931746835310752E-3</v>
      </c>
      <c r="I15" s="7">
        <f>$B15 * IFERROR(VLOOKUP("LULUCF|NOx|Work loss days", US_national_yearly!$D:$AM, 17, FALSE) / VLOOKUP("LULUCF|NOx|Work loss days", US_national_yearly!$D:$AM, 10, FALSE), 1)</f>
        <v>1.9417559056652861E-3</v>
      </c>
      <c r="J15" s="7">
        <f>$B15 * IFERROR(VLOOKUP("LULUCF|NOx|Work loss days", US_national_yearly!$D:$AM, 18, FALSE) / VLOOKUP("LULUCF|NOx|Work loss days", US_national_yearly!$D:$AM, 10, FALSE), 1)</f>
        <v>1.9517649760198204E-3</v>
      </c>
      <c r="K15" s="7">
        <f>$B15 * IFERROR(VLOOKUP("LULUCF|NOx|Work loss days", US_national_yearly!$D:$AM, 19, FALSE) / VLOOKUP("LULUCF|NOx|Work loss days", US_national_yearly!$D:$AM, 10, FALSE), 1)</f>
        <v>1.9617740463743548E-3</v>
      </c>
      <c r="L15" s="7">
        <f>$B15 * IFERROR(VLOOKUP("LULUCF|NOx|Work loss days", US_national_yearly!$D:$AM, 20, FALSE) / VLOOKUP("LULUCF|NOx|Work loss days", US_national_yearly!$D:$AM, 10, FALSE), 1)</f>
        <v>1.9717831167288887E-3</v>
      </c>
      <c r="M15" s="7">
        <f>$B15 * IFERROR(VLOOKUP("LULUCF|NOx|Work loss days", US_national_yearly!$D:$AM, 21, FALSE) / VLOOKUP("LULUCF|NOx|Work loss days", US_national_yearly!$D:$AM, 10, FALSE), 1)</f>
        <v>1.981792187083423E-3</v>
      </c>
      <c r="N15" s="7">
        <f>$B15 * IFERROR(VLOOKUP("LULUCF|NOx|Work loss days", US_national_yearly!$D:$AM, 22, FALSE) / VLOOKUP("LULUCF|NOx|Work loss days", US_national_yearly!$D:$AM, 10, FALSE), 1)</f>
        <v>1.9948183779659348E-3</v>
      </c>
      <c r="O15" s="7">
        <f>$B15 * IFERROR(VLOOKUP("LULUCF|NOx|Work loss days", US_national_yearly!$D:$AM, 23, FALSE) / VLOOKUP("LULUCF|NOx|Work loss days", US_national_yearly!$D:$AM, 10, FALSE), 1)</f>
        <v>2.0078445688484462E-3</v>
      </c>
      <c r="P15" s="7">
        <f>$B15 * IFERROR(VLOOKUP("LULUCF|NOx|Work loss days", US_national_yearly!$D:$AM, 24, FALSE) / VLOOKUP("LULUCF|NOx|Work loss days", US_national_yearly!$D:$AM, 10, FALSE), 1)</f>
        <v>2.020870759730958E-3</v>
      </c>
      <c r="Q15" s="7">
        <f>$B15 * IFERROR(VLOOKUP("LULUCF|NOx|Work loss days", US_national_yearly!$D:$AM, 25, FALSE) / VLOOKUP("LULUCF|NOx|Work loss days", US_national_yearly!$D:$AM, 10, FALSE), 1)</f>
        <v>2.0338969506134689E-3</v>
      </c>
      <c r="R15" s="7">
        <f>$B15 * IFERROR(VLOOKUP("LULUCF|NOx|Work loss days", US_national_yearly!$D:$AM, 26, FALSE) / VLOOKUP("LULUCF|NOx|Work loss days", US_national_yearly!$D:$AM, 10, FALSE), 1)</f>
        <v>2.0469231414959811E-3</v>
      </c>
      <c r="S15" s="7">
        <f>$B15 * IFERROR(VLOOKUP("LULUCF|NOx|Work loss days", US_national_yearly!$D:$AM, 27, FALSE) / VLOOKUP("LULUCF|NOx|Work loss days", US_national_yearly!$D:$AM, 10, FALSE), 1)</f>
        <v>2.061445678775102E-3</v>
      </c>
      <c r="T15" s="7">
        <f>$B15 * IFERROR(VLOOKUP("LULUCF|NOx|Work loss days", US_national_yearly!$D:$AM, 28, FALSE) / VLOOKUP("LULUCF|NOx|Work loss days", US_national_yearly!$D:$AM, 10, FALSE), 1)</f>
        <v>2.0759682160542228E-3</v>
      </c>
      <c r="U15" s="7">
        <f>$B15 * IFERROR(VLOOKUP("LULUCF|NOx|Work loss days", US_national_yearly!$D:$AM, 29, FALSE) / VLOOKUP("LULUCF|NOx|Work loss days", US_national_yearly!$D:$AM, 10, FALSE), 1)</f>
        <v>2.0904907533333427E-3</v>
      </c>
      <c r="V15" s="7">
        <f>$B15 * IFERROR(VLOOKUP("LULUCF|NOx|Work loss days", US_national_yearly!$D:$AM, 30, FALSE) / VLOOKUP("LULUCF|NOx|Work loss days", US_national_yearly!$D:$AM, 10, FALSE), 1)</f>
        <v>2.1050132906124635E-3</v>
      </c>
      <c r="W15" s="7">
        <f>$B15 * IFERROR(VLOOKUP("LULUCF|NOx|Work loss days", US_national_yearly!$D:$AM, 31, FALSE) / VLOOKUP("LULUCF|NOx|Work loss days", US_national_yearly!$D:$AM, 10, FALSE), 1)</f>
        <v>2.1195358278915844E-3</v>
      </c>
      <c r="X15" s="7">
        <f>$B15 * IFERROR(VLOOKUP("LULUCF|NOx|Work loss days", US_national_yearly!$D:$AM, 32, FALSE) / VLOOKUP("LULUCF|NOx|Work loss days", US_national_yearly!$D:$AM, 10, FALSE), 1)</f>
        <v>2.1321406159555086E-3</v>
      </c>
      <c r="Y15" s="7">
        <f>$B15 * IFERROR(VLOOKUP("LULUCF|NOx|Work loss days", US_national_yearly!$D:$AM, 33, FALSE) / VLOOKUP("LULUCF|NOx|Work loss days", US_national_yearly!$D:$AM, 10, FALSE), 1)</f>
        <v>2.1447454040194329E-3</v>
      </c>
      <c r="Z15" s="7">
        <f>$B15 * IFERROR(VLOOKUP("LULUCF|NOx|Work loss days", US_national_yearly!$D:$AM, 34, FALSE) / VLOOKUP("LULUCF|NOx|Work loss days", US_national_yearly!$D:$AM, 10, FALSE), 1)</f>
        <v>2.1573501920833568E-3</v>
      </c>
      <c r="AA15" s="7">
        <f>$B15 * IFERROR(VLOOKUP("LULUCF|NOx|Work loss days", US_national_yearly!$D:$AM, 35, FALSE) / VLOOKUP("LULUCF|NOx|Work loss days", US_national_yearly!$D:$AM, 10, FALSE), 1)</f>
        <v>2.169954980147281E-3</v>
      </c>
      <c r="AB15" s="7">
        <f>$B15 * IFERROR(VLOOKUP("LULUCF|NOx|Work loss days", US_national_yearly!$D:$AM, 36, FALSE) / VLOOKUP("LULUCF|NOx|Work loss days", US_national_yearly!$D:$AM, 10, FALSE), 1)</f>
        <v>2.1825597682112053E-3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2.9571189427914002E-6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3.044012793867239E-6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3.1309066449430775E-6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3.2178004960189155E-6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3.3046943470947544E-6</v>
      </c>
      <c r="G17" s="7">
        <f>$B17 * IFERROR(VLOOKUP("LULUCF|NOx|Cardiovascular hospital admissions", US_national_yearly!$D:$AM, 15, FALSE) / VLOOKUP("LULUCF|NOx|Cardiovascular hospital admissions", US_national_yearly!$D:$AM, 10, FALSE), 1)</f>
        <v>3.387229135581067E-6</v>
      </c>
      <c r="H17" s="7">
        <f>$B17 * IFERROR(VLOOKUP("LULUCF|NOx|Cardiovascular hospital admissions", US_national_yearly!$D:$AM, 16, FALSE) / VLOOKUP("LULUCF|NOx|Cardiovascular hospital admissions", US_national_yearly!$D:$AM, 10, FALSE), 1)</f>
        <v>3.46976392406738E-6</v>
      </c>
      <c r="I17" s="7">
        <f>$B17 * IFERROR(VLOOKUP("LULUCF|NOx|Cardiovascular hospital admissions", US_national_yearly!$D:$AM, 17, FALSE) / VLOOKUP("LULUCF|NOx|Cardiovascular hospital admissions", US_national_yearly!$D:$AM, 10, FALSE), 1)</f>
        <v>3.5391693139848218E-6</v>
      </c>
      <c r="J17" s="7">
        <f>$B17 * IFERROR(VLOOKUP("LULUCF|NOx|Cardiovascular hospital admissions", US_national_yearly!$D:$AM, 18, FALSE) / VLOOKUP("LULUCF|NOx|Cardiovascular hospital admissions", US_national_yearly!$D:$AM, 10, FALSE), 1)</f>
        <v>3.6085747039022636E-6</v>
      </c>
      <c r="K17" s="7">
        <f>$B17 * IFERROR(VLOOKUP("LULUCF|NOx|Cardiovascular hospital admissions", US_national_yearly!$D:$AM, 19, FALSE) / VLOOKUP("LULUCF|NOx|Cardiovascular hospital admissions", US_national_yearly!$D:$AM, 10, FALSE), 1)</f>
        <v>3.6779800938197054E-6</v>
      </c>
      <c r="L17" s="7">
        <f>$B17 * IFERROR(VLOOKUP("LULUCF|NOx|Cardiovascular hospital admissions", US_national_yearly!$D:$AM, 20, FALSE) / VLOOKUP("LULUCF|NOx|Cardiovascular hospital admissions", US_national_yearly!$D:$AM, 10, FALSE), 1)</f>
        <v>3.7473854837371476E-6</v>
      </c>
      <c r="M17" s="7">
        <f>$B17 * IFERROR(VLOOKUP("LULUCF|NOx|Cardiovascular hospital admissions", US_national_yearly!$D:$AM, 21, FALSE) / VLOOKUP("LULUCF|NOx|Cardiovascular hospital admissions", US_national_yearly!$D:$AM, 10, FALSE), 1)</f>
        <v>3.8167908736545903E-6</v>
      </c>
      <c r="N17" s="7">
        <f>$B17 * IFERROR(VLOOKUP("LULUCF|NOx|Cardiovascular hospital admissions", US_national_yearly!$D:$AM, 22, FALSE) / VLOOKUP("LULUCF|NOx|Cardiovascular hospital admissions", US_national_yearly!$D:$AM, 10, FALSE), 1)</f>
        <v>3.8601923637026963E-6</v>
      </c>
      <c r="O17" s="7">
        <f>$B17 * IFERROR(VLOOKUP("LULUCF|NOx|Cardiovascular hospital admissions", US_national_yearly!$D:$AM, 23, FALSE) / VLOOKUP("LULUCF|NOx|Cardiovascular hospital admissions", US_national_yearly!$D:$AM, 10, FALSE), 1)</f>
        <v>3.903593853750803E-6</v>
      </c>
      <c r="P17" s="7">
        <f>$B17 * IFERROR(VLOOKUP("LULUCF|NOx|Cardiovascular hospital admissions", US_national_yearly!$D:$AM, 24, FALSE) / VLOOKUP("LULUCF|NOx|Cardiovascular hospital admissions", US_national_yearly!$D:$AM, 10, FALSE), 1)</f>
        <v>3.946995343798909E-6</v>
      </c>
      <c r="Q17" s="7">
        <f>$B17 * IFERROR(VLOOKUP("LULUCF|NOx|Cardiovascular hospital admissions", US_national_yearly!$D:$AM, 25, FALSE) / VLOOKUP("LULUCF|NOx|Cardiovascular hospital admissions", US_national_yearly!$D:$AM, 10, FALSE), 1)</f>
        <v>3.9903968338470158E-6</v>
      </c>
      <c r="R17" s="7">
        <f>$B17 * IFERROR(VLOOKUP("LULUCF|NOx|Cardiovascular hospital admissions", US_national_yearly!$D:$AM, 26, FALSE) / VLOOKUP("LULUCF|NOx|Cardiovascular hospital admissions", US_national_yearly!$D:$AM, 10, FALSE), 1)</f>
        <v>4.0337983238951226E-6</v>
      </c>
      <c r="S17" s="7">
        <f>$B17 * IFERROR(VLOOKUP("LULUCF|NOx|Cardiovascular hospital admissions", US_national_yearly!$D:$AM, 27, FALSE) / VLOOKUP("LULUCF|NOx|Cardiovascular hospital admissions", US_national_yearly!$D:$AM, 10, FALSE), 1)</f>
        <v>4.0536012319782938E-6</v>
      </c>
      <c r="T17" s="7">
        <f>$B17 * IFERROR(VLOOKUP("LULUCF|NOx|Cardiovascular hospital admissions", US_national_yearly!$D:$AM, 28, FALSE) / VLOOKUP("LULUCF|NOx|Cardiovascular hospital admissions", US_national_yearly!$D:$AM, 10, FALSE), 1)</f>
        <v>4.073404140061465E-6</v>
      </c>
      <c r="U17" s="7">
        <f>$B17 * IFERROR(VLOOKUP("LULUCF|NOx|Cardiovascular hospital admissions", US_national_yearly!$D:$AM, 29, FALSE) / VLOOKUP("LULUCF|NOx|Cardiovascular hospital admissions", US_national_yearly!$D:$AM, 10, FALSE), 1)</f>
        <v>4.0932070481446353E-6</v>
      </c>
      <c r="V17" s="7">
        <f>$B17 * IFERROR(VLOOKUP("LULUCF|NOx|Cardiovascular hospital admissions", US_national_yearly!$D:$AM, 30, FALSE) / VLOOKUP("LULUCF|NOx|Cardiovascular hospital admissions", US_national_yearly!$D:$AM, 10, FALSE), 1)</f>
        <v>4.1130099562278065E-6</v>
      </c>
      <c r="W17" s="7">
        <f>$B17 * IFERROR(VLOOKUP("LULUCF|NOx|Cardiovascular hospital admissions", US_national_yearly!$D:$AM, 31, FALSE) / VLOOKUP("LULUCF|NOx|Cardiovascular hospital admissions", US_national_yearly!$D:$AM, 10, FALSE), 1)</f>
        <v>4.1328128643109777E-6</v>
      </c>
      <c r="X17" s="7">
        <f>$B17 * IFERROR(VLOOKUP("LULUCF|NOx|Cardiovascular hospital admissions", US_national_yearly!$D:$AM, 32, FALSE) / VLOOKUP("LULUCF|NOx|Cardiovascular hospital admissions", US_national_yearly!$D:$AM, 10, FALSE), 1)</f>
        <v>4.1438338692184591E-6</v>
      </c>
      <c r="Y17" s="7">
        <f>$B17 * IFERROR(VLOOKUP("LULUCF|NOx|Cardiovascular hospital admissions", US_national_yearly!$D:$AM, 33, FALSE) / VLOOKUP("LULUCF|NOx|Cardiovascular hospital admissions", US_national_yearly!$D:$AM, 10, FALSE), 1)</f>
        <v>4.1548548741259396E-6</v>
      </c>
      <c r="Z17" s="7">
        <f>$B17 * IFERROR(VLOOKUP("LULUCF|NOx|Cardiovascular hospital admissions", US_national_yearly!$D:$AM, 34, FALSE) / VLOOKUP("LULUCF|NOx|Cardiovascular hospital admissions", US_national_yearly!$D:$AM, 10, FALSE), 1)</f>
        <v>4.1658758790334202E-6</v>
      </c>
      <c r="AA17" s="7">
        <f>$B17 * IFERROR(VLOOKUP("LULUCF|NOx|Cardiovascular hospital admissions", US_national_yearly!$D:$AM, 35, FALSE) / VLOOKUP("LULUCF|NOx|Cardiovascular hospital admissions", US_national_yearly!$D:$AM, 10, FALSE), 1)</f>
        <v>4.1768968839409016E-6</v>
      </c>
      <c r="AB17" s="7">
        <f>$B17 * IFERROR(VLOOKUP("LULUCF|NOx|Cardiovascular hospital admissions", US_national_yearly!$D:$AM, 36, FALSE) / VLOOKUP("LULUCF|NOx|Cardiovascular hospital admissions", US_national_yearly!$D:$AM, 10, FALSE), 1)</f>
        <v>4.1879178888483821E-6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3.8218885166438308E-5</v>
      </c>
      <c r="C2" s="7">
        <f>$B2 * IFERROR(VLOOKUP("LULUCF|SO2|Premature mortality", US_national_yearly!$D:$AM, 11, FALSE) / VLOOKUP("LULUCF|SO2|Premature mortality", US_national_yearly!$D:$AM, 10, FALSE), 1)</f>
        <v>3.8702906668191896E-5</v>
      </c>
      <c r="D2" s="7">
        <f>$B2 * IFERROR(VLOOKUP("LULUCF|SO2|Premature mortality", US_national_yearly!$D:$AM, 12, FALSE) / VLOOKUP("LULUCF|SO2|Premature mortality", US_national_yearly!$D:$AM, 10, FALSE), 1)</f>
        <v>3.9186928169945498E-5</v>
      </c>
      <c r="E2" s="7">
        <f>$B2 * IFERROR(VLOOKUP("LULUCF|SO2|Premature mortality", US_national_yearly!$D:$AM, 13, FALSE) / VLOOKUP("LULUCF|SO2|Premature mortality", US_national_yearly!$D:$AM, 10, FALSE), 1)</f>
        <v>3.9670949671699086E-5</v>
      </c>
      <c r="F2" s="7">
        <f>$B2 * IFERROR(VLOOKUP("LULUCF|SO2|Premature mortality", US_national_yearly!$D:$AM, 14, FALSE) / VLOOKUP("LULUCF|SO2|Premature mortality", US_national_yearly!$D:$AM, 10, FALSE), 1)</f>
        <v>4.0154971173452674E-5</v>
      </c>
      <c r="G2" s="7">
        <f>$B2 * IFERROR(VLOOKUP("LULUCF|SO2|Premature mortality", US_national_yearly!$D:$AM, 15, FALSE) / VLOOKUP("LULUCF|SO2|Premature mortality", US_national_yearly!$D:$AM, 10, FALSE), 1)</f>
        <v>4.1087653175969009E-5</v>
      </c>
      <c r="H2" s="7">
        <f>$B2 * IFERROR(VLOOKUP("LULUCF|SO2|Premature mortality", US_national_yearly!$D:$AM, 16, FALSE) / VLOOKUP("LULUCF|SO2|Premature mortality", US_national_yearly!$D:$AM, 10, FALSE), 1)</f>
        <v>4.2020335178485337E-5</v>
      </c>
      <c r="I2" s="7">
        <f>$B2 * IFERROR(VLOOKUP("LULUCF|SO2|Premature mortality", US_national_yearly!$D:$AM, 17, FALSE) / VLOOKUP("LULUCF|SO2|Premature mortality", US_national_yearly!$D:$AM, 10, FALSE), 1)</f>
        <v>4.2636708594923274E-5</v>
      </c>
      <c r="J2" s="7">
        <f>$B2 * IFERROR(VLOOKUP("LULUCF|SO2|Premature mortality", US_national_yearly!$D:$AM, 18, FALSE) / VLOOKUP("LULUCF|SO2|Premature mortality", US_national_yearly!$D:$AM, 10, FALSE), 1)</f>
        <v>4.3253082011361204E-5</v>
      </c>
      <c r="K2" s="7">
        <f>$B2 * IFERROR(VLOOKUP("LULUCF|SO2|Premature mortality", US_national_yearly!$D:$AM, 19, FALSE) / VLOOKUP("LULUCF|SO2|Premature mortality", US_national_yearly!$D:$AM, 10, FALSE), 1)</f>
        <v>4.3869455427799134E-5</v>
      </c>
      <c r="L2" s="7">
        <f>$B2 * IFERROR(VLOOKUP("LULUCF|SO2|Premature mortality", US_national_yearly!$D:$AM, 20, FALSE) / VLOOKUP("LULUCF|SO2|Premature mortality", US_national_yearly!$D:$AM, 10, FALSE), 1)</f>
        <v>4.4485828844237071E-5</v>
      </c>
      <c r="M2" s="7">
        <f>$B2 * IFERROR(VLOOKUP("LULUCF|SO2|Premature mortality", US_national_yearly!$D:$AM, 21, FALSE) / VLOOKUP("LULUCF|SO2|Premature mortality", US_national_yearly!$D:$AM, 10, FALSE), 1)</f>
        <v>4.5102202260675001E-5</v>
      </c>
      <c r="N2" s="7">
        <f>$B2 * IFERROR(VLOOKUP("LULUCF|SO2|Premature mortality", US_national_yearly!$D:$AM, 22, FALSE) / VLOOKUP("LULUCF|SO2|Premature mortality", US_national_yearly!$D:$AM, 10, FALSE), 1)</f>
        <v>4.558380301450482E-5</v>
      </c>
      <c r="O2" s="7">
        <f>$B2 * IFERROR(VLOOKUP("LULUCF|SO2|Premature mortality", US_national_yearly!$D:$AM, 23, FALSE) / VLOOKUP("LULUCF|SO2|Premature mortality", US_national_yearly!$D:$AM, 10, FALSE), 1)</f>
        <v>4.6065403768334631E-5</v>
      </c>
      <c r="P2" s="7">
        <f>$B2 * IFERROR(VLOOKUP("LULUCF|SO2|Premature mortality", US_national_yearly!$D:$AM, 24, FALSE) / VLOOKUP("LULUCF|SO2|Premature mortality", US_national_yearly!$D:$AM, 10, FALSE), 1)</f>
        <v>4.6547004522164442E-5</v>
      </c>
      <c r="Q2" s="7">
        <f>$B2 * IFERROR(VLOOKUP("LULUCF|SO2|Premature mortality", US_national_yearly!$D:$AM, 25, FALSE) / VLOOKUP("LULUCF|SO2|Premature mortality", US_national_yearly!$D:$AM, 10, FALSE), 1)</f>
        <v>4.702860527599426E-5</v>
      </c>
      <c r="R2" s="7">
        <f>$B2 * IFERROR(VLOOKUP("LULUCF|SO2|Premature mortality", US_national_yearly!$D:$AM, 26, FALSE) / VLOOKUP("LULUCF|SO2|Premature mortality", US_national_yearly!$D:$AM, 10, FALSE), 1)</f>
        <v>4.7510206029824065E-5</v>
      </c>
      <c r="S2" s="7">
        <f>$B2 * IFERROR(VLOOKUP("LULUCF|SO2|Premature mortality", US_national_yearly!$D:$AM, 27, FALSE) / VLOOKUP("LULUCF|SO2|Premature mortality", US_national_yearly!$D:$AM, 10, FALSE), 1)</f>
        <v>4.7768109646109928E-5</v>
      </c>
      <c r="T2" s="7">
        <f>$B2 * IFERROR(VLOOKUP("LULUCF|SO2|Premature mortality", US_national_yearly!$D:$AM, 28, FALSE) / VLOOKUP("LULUCF|SO2|Premature mortality", US_national_yearly!$D:$AM, 10, FALSE), 1)</f>
        <v>4.8026013262395777E-5</v>
      </c>
      <c r="U2" s="7">
        <f>$B2 * IFERROR(VLOOKUP("LULUCF|SO2|Premature mortality", US_national_yearly!$D:$AM, 29, FALSE) / VLOOKUP("LULUCF|SO2|Premature mortality", US_national_yearly!$D:$AM, 10, FALSE), 1)</f>
        <v>4.8283916878681633E-5</v>
      </c>
      <c r="V2" s="7">
        <f>$B2 * IFERROR(VLOOKUP("LULUCF|SO2|Premature mortality", US_national_yearly!$D:$AM, 30, FALSE) / VLOOKUP("LULUCF|SO2|Premature mortality", US_national_yearly!$D:$AM, 10, FALSE), 1)</f>
        <v>4.8541820494967489E-5</v>
      </c>
      <c r="W2" s="7">
        <f>$B2 * IFERROR(VLOOKUP("LULUCF|SO2|Premature mortality", US_national_yearly!$D:$AM, 31, FALSE) / VLOOKUP("LULUCF|SO2|Premature mortality", US_national_yearly!$D:$AM, 10, FALSE), 1)</f>
        <v>4.8799724111253351E-5</v>
      </c>
      <c r="X2" s="7">
        <f>$B2 * IFERROR(VLOOKUP("LULUCF|SO2|Premature mortality", US_national_yearly!$D:$AM, 32, FALSE) / VLOOKUP("LULUCF|SO2|Premature mortality", US_national_yearly!$D:$AM, 10, FALSE), 1)</f>
        <v>4.8852118019769656E-5</v>
      </c>
      <c r="Y2" s="7">
        <f>$B2 * IFERROR(VLOOKUP("LULUCF|SO2|Premature mortality", US_national_yearly!$D:$AM, 33, FALSE) / VLOOKUP("LULUCF|SO2|Premature mortality", US_national_yearly!$D:$AM, 10, FALSE), 1)</f>
        <v>4.8904511928285968E-5</v>
      </c>
      <c r="Z2" s="7">
        <f>$B2 * IFERROR(VLOOKUP("LULUCF|SO2|Premature mortality", US_national_yearly!$D:$AM, 34, FALSE) / VLOOKUP("LULUCF|SO2|Premature mortality", US_national_yearly!$D:$AM, 10, FALSE), 1)</f>
        <v>4.8956905836802286E-5</v>
      </c>
      <c r="AA2" s="7">
        <f>$B2 * IFERROR(VLOOKUP("LULUCF|SO2|Premature mortality", US_national_yearly!$D:$AM, 35, FALSE) / VLOOKUP("LULUCF|SO2|Premature mortality", US_national_yearly!$D:$AM, 10, FALSE), 1)</f>
        <v>4.9009299745318597E-5</v>
      </c>
      <c r="AB2" s="7">
        <f>$B2 * IFERROR(VLOOKUP("LULUCF|SO2|Premature mortality", US_national_yearly!$D:$AM, 36, FALSE) / VLOOKUP("LULUCF|SO2|Premature mortality", US_national_yearly!$D:$AM, 10, FALSE), 1)</f>
        <v>4.9061693653834909E-5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5.086112065590746E-8</v>
      </c>
      <c r="C3" s="7">
        <f>$B3 * IFERROR(VLOOKUP("LULUCF|SO2|Infant mortality", US_national_yearly!$D:$AM, 11, FALSE) / VLOOKUP("LULUCF|SO2|Infant mortality", US_national_yearly!$D:$AM, 10, FALSE), 1)</f>
        <v>5.042421435212146E-8</v>
      </c>
      <c r="D3" s="7">
        <f>$B3 * IFERROR(VLOOKUP("LULUCF|SO2|Infant mortality", US_national_yearly!$D:$AM, 12, FALSE) / VLOOKUP("LULUCF|SO2|Infant mortality", US_national_yearly!$D:$AM, 10, FALSE), 1)</f>
        <v>4.9987308048335467E-8</v>
      </c>
      <c r="E3" s="7">
        <f>$B3 * IFERROR(VLOOKUP("LULUCF|SO2|Infant mortality", US_national_yearly!$D:$AM, 13, FALSE) / VLOOKUP("LULUCF|SO2|Infant mortality", US_national_yearly!$D:$AM, 10, FALSE), 1)</f>
        <v>4.9550401744549467E-8</v>
      </c>
      <c r="F3" s="7">
        <f>$B3 * IFERROR(VLOOKUP("LULUCF|SO2|Infant mortality", US_national_yearly!$D:$AM, 14, FALSE) / VLOOKUP("LULUCF|SO2|Infant mortality", US_national_yearly!$D:$AM, 10, FALSE), 1)</f>
        <v>4.9113495440763474E-8</v>
      </c>
      <c r="G3" s="7">
        <f>$B3 * IFERROR(VLOOKUP("LULUCF|SO2|Infant mortality", US_national_yearly!$D:$AM, 15, FALSE) / VLOOKUP("LULUCF|SO2|Infant mortality", US_national_yearly!$D:$AM, 10, FALSE), 1)</f>
        <v>3.271354364210453E-8</v>
      </c>
      <c r="H3" s="7">
        <f>$B3 * IFERROR(VLOOKUP("LULUCF|SO2|Infant mortality", US_national_yearly!$D:$AM, 16, FALSE) / VLOOKUP("LULUCF|SO2|Infant mortality", US_national_yearly!$D:$AM, 10, FALSE), 1)</f>
        <v>1.6313591843445612E-8</v>
      </c>
      <c r="I3" s="7">
        <f>$B3 * IFERROR(VLOOKUP("LULUCF|SO2|Infant mortality", US_national_yearly!$D:$AM, 17, FALSE) / VLOOKUP("LULUCF|SO2|Infant mortality", US_national_yearly!$D:$AM, 10, FALSE), 1)</f>
        <v>1.62112517555299E-8</v>
      </c>
      <c r="J3" s="7">
        <f>$B3 * IFERROR(VLOOKUP("LULUCF|SO2|Infant mortality", US_national_yearly!$D:$AM, 18, FALSE) / VLOOKUP("LULUCF|SO2|Infant mortality", US_national_yearly!$D:$AM, 10, FALSE), 1)</f>
        <v>1.6108911667614184E-8</v>
      </c>
      <c r="K3" s="7">
        <f>$B3 * IFERROR(VLOOKUP("LULUCF|SO2|Infant mortality", US_national_yearly!$D:$AM, 19, FALSE) / VLOOKUP("LULUCF|SO2|Infant mortality", US_national_yearly!$D:$AM, 10, FALSE), 1)</f>
        <v>1.6006571579698471E-8</v>
      </c>
      <c r="L3" s="7">
        <f>$B3 * IFERROR(VLOOKUP("LULUCF|SO2|Infant mortality", US_national_yearly!$D:$AM, 20, FALSE) / VLOOKUP("LULUCF|SO2|Infant mortality", US_national_yearly!$D:$AM, 10, FALSE), 1)</f>
        <v>1.5904231491782762E-8</v>
      </c>
      <c r="M3" s="7">
        <f>$B3 * IFERROR(VLOOKUP("LULUCF|SO2|Infant mortality", US_national_yearly!$D:$AM, 21, FALSE) / VLOOKUP("LULUCF|SO2|Infant mortality", US_national_yearly!$D:$AM, 10, FALSE), 1)</f>
        <v>1.5801891403867049E-8</v>
      </c>
      <c r="N3" s="7">
        <f>$B3 * IFERROR(VLOOKUP("LULUCF|SO2|Infant mortality", US_national_yearly!$D:$AM, 22, FALSE) / VLOOKUP("LULUCF|SO2|Infant mortality", US_national_yearly!$D:$AM, 10, FALSE), 1)</f>
        <v>1.5737653296868025E-8</v>
      </c>
      <c r="O3" s="7">
        <f>$B3 * IFERROR(VLOOKUP("LULUCF|SO2|Infant mortality", US_national_yearly!$D:$AM, 23, FALSE) / VLOOKUP("LULUCF|SO2|Infant mortality", US_national_yearly!$D:$AM, 10, FALSE), 1)</f>
        <v>1.5673415189869004E-8</v>
      </c>
      <c r="P3" s="7">
        <f>$B3 * IFERROR(VLOOKUP("LULUCF|SO2|Infant mortality", US_national_yearly!$D:$AM, 24, FALSE) / VLOOKUP("LULUCF|SO2|Infant mortality", US_national_yearly!$D:$AM, 10, FALSE), 1)</f>
        <v>1.5609177082869979E-8</v>
      </c>
      <c r="Q3" s="7">
        <f>$B3 * IFERROR(VLOOKUP("LULUCF|SO2|Infant mortality", US_national_yearly!$D:$AM, 25, FALSE) / VLOOKUP("LULUCF|SO2|Infant mortality", US_national_yearly!$D:$AM, 10, FALSE), 1)</f>
        <v>1.5544938975870955E-8</v>
      </c>
      <c r="R3" s="7">
        <f>$B3 * IFERROR(VLOOKUP("LULUCF|SO2|Infant mortality", US_national_yearly!$D:$AM, 26, FALSE) / VLOOKUP("LULUCF|SO2|Infant mortality", US_national_yearly!$D:$AM, 10, FALSE), 1)</f>
        <v>1.548070086887193E-8</v>
      </c>
      <c r="S3" s="7">
        <f>$B3 * IFERROR(VLOOKUP("LULUCF|SO2|Infant mortality", US_national_yearly!$D:$AM, 27, FALSE) / VLOOKUP("LULUCF|SO2|Infant mortality", US_national_yearly!$D:$AM, 10, FALSE), 1)</f>
        <v>1.5400046012065409E-8</v>
      </c>
      <c r="T3" s="7">
        <f>$B3 * IFERROR(VLOOKUP("LULUCF|SO2|Infant mortality", US_national_yearly!$D:$AM, 28, FALSE) / VLOOKUP("LULUCF|SO2|Infant mortality", US_national_yearly!$D:$AM, 10, FALSE), 1)</f>
        <v>1.5319391155258885E-8</v>
      </c>
      <c r="U3" s="7">
        <f>$B3 * IFERROR(VLOOKUP("LULUCF|SO2|Infant mortality", US_national_yearly!$D:$AM, 29, FALSE) / VLOOKUP("LULUCF|SO2|Infant mortality", US_national_yearly!$D:$AM, 10, FALSE), 1)</f>
        <v>1.5238736298452357E-8</v>
      </c>
      <c r="V3" s="7">
        <f>$B3 * IFERROR(VLOOKUP("LULUCF|SO2|Infant mortality", US_national_yearly!$D:$AM, 30, FALSE) / VLOOKUP("LULUCF|SO2|Infant mortality", US_national_yearly!$D:$AM, 10, FALSE), 1)</f>
        <v>1.5158081441645836E-8</v>
      </c>
      <c r="W3" s="7">
        <f>$B3 * IFERROR(VLOOKUP("LULUCF|SO2|Infant mortality", US_national_yearly!$D:$AM, 31, FALSE) / VLOOKUP("LULUCF|SO2|Infant mortality", US_national_yearly!$D:$AM, 10, FALSE), 1)</f>
        <v>1.5077426584839312E-8</v>
      </c>
      <c r="X3" s="7">
        <f>$B3 * IFERROR(VLOOKUP("LULUCF|SO2|Infant mortality", US_national_yearly!$D:$AM, 32, FALSE) / VLOOKUP("LULUCF|SO2|Infant mortality", US_national_yearly!$D:$AM, 10, FALSE), 1)</f>
        <v>1.4989245930448032E-8</v>
      </c>
      <c r="Y3" s="7">
        <f>$B3 * IFERROR(VLOOKUP("LULUCF|SO2|Infant mortality", US_national_yearly!$D:$AM, 33, FALSE) / VLOOKUP("LULUCF|SO2|Infant mortality", US_national_yearly!$D:$AM, 10, FALSE), 1)</f>
        <v>1.4901065276056746E-8</v>
      </c>
      <c r="Z3" s="7">
        <f>$B3 * IFERROR(VLOOKUP("LULUCF|SO2|Infant mortality", US_national_yearly!$D:$AM, 34, FALSE) / VLOOKUP("LULUCF|SO2|Infant mortality", US_national_yearly!$D:$AM, 10, FALSE), 1)</f>
        <v>1.4812884621665466E-8</v>
      </c>
      <c r="AA3" s="7">
        <f>$B3 * IFERROR(VLOOKUP("LULUCF|SO2|Infant mortality", US_national_yearly!$D:$AM, 35, FALSE) / VLOOKUP("LULUCF|SO2|Infant mortality", US_national_yearly!$D:$AM, 10, FALSE), 1)</f>
        <v>1.472470396727418E-8</v>
      </c>
      <c r="AB3" s="7">
        <f>$B3 * IFERROR(VLOOKUP("LULUCF|SO2|Infant mortality", US_national_yearly!$D:$AM, 36, FALSE) / VLOOKUP("LULUCF|SO2|Infant mortality", US_national_yearly!$D:$AM, 10, FALSE), 1)</f>
        <v>1.4636523312882901E-8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7.8597578252371015E-5</v>
      </c>
      <c r="C6" s="7">
        <f>$B6 * IFERROR(VLOOKUP("LULUCF|SO2|Asthma symptoms cough", US_national_yearly!$D:$AM, 11, FALSE) / VLOOKUP("LULUCF|SO2|Asthma symptoms cough", US_national_yearly!$D:$AM, 10, FALSE), 1)</f>
        <v>7.8597578252371015E-5</v>
      </c>
      <c r="D6" s="7">
        <f>$B6 * IFERROR(VLOOKUP("LULUCF|SO2|Asthma symptoms cough", US_national_yearly!$D:$AM, 12, FALSE) / VLOOKUP("LULUCF|SO2|Asthma symptoms cough", US_national_yearly!$D:$AM, 10, FALSE), 1)</f>
        <v>7.8597578252371015E-5</v>
      </c>
      <c r="E6" s="7">
        <f>$B6 * IFERROR(VLOOKUP("LULUCF|SO2|Asthma symptoms cough", US_national_yearly!$D:$AM, 13, FALSE) / VLOOKUP("LULUCF|SO2|Asthma symptoms cough", US_national_yearly!$D:$AM, 10, FALSE), 1)</f>
        <v>7.8597578252371015E-5</v>
      </c>
      <c r="F6" s="7">
        <f>$B6 * IFERROR(VLOOKUP("LULUCF|SO2|Asthma symptoms cough", US_national_yearly!$D:$AM, 14, FALSE) / VLOOKUP("LULUCF|SO2|Asthma symptoms cough", US_national_yearly!$D:$AM, 10, FALSE), 1)</f>
        <v>7.8597578252371015E-5</v>
      </c>
      <c r="G6" s="7">
        <f>$B6 * IFERROR(VLOOKUP("LULUCF|SO2|Asthma symptoms cough", US_national_yearly!$D:$AM, 15, FALSE) / VLOOKUP("LULUCF|SO2|Asthma symptoms cough", US_national_yearly!$D:$AM, 10, FALSE), 1)</f>
        <v>7.8597578252371015E-5</v>
      </c>
      <c r="H6" s="7">
        <f>$B6 * IFERROR(VLOOKUP("LULUCF|SO2|Asthma symptoms cough", US_national_yearly!$D:$AM, 16, FALSE) / VLOOKUP("LULUCF|SO2|Asthma symptoms cough", US_national_yearly!$D:$AM, 10, FALSE), 1)</f>
        <v>7.8597578252371015E-5</v>
      </c>
      <c r="I6" s="7">
        <f>$B6 * IFERROR(VLOOKUP("LULUCF|SO2|Asthma symptoms cough", US_national_yearly!$D:$AM, 17, FALSE) / VLOOKUP("LULUCF|SO2|Asthma symptoms cough", US_national_yearly!$D:$AM, 10, FALSE), 1)</f>
        <v>7.8597578252371015E-5</v>
      </c>
      <c r="J6" s="7">
        <f>$B6 * IFERROR(VLOOKUP("LULUCF|SO2|Asthma symptoms cough", US_national_yearly!$D:$AM, 18, FALSE) / VLOOKUP("LULUCF|SO2|Asthma symptoms cough", US_national_yearly!$D:$AM, 10, FALSE), 1)</f>
        <v>7.8597578252371015E-5</v>
      </c>
      <c r="K6" s="7">
        <f>$B6 * IFERROR(VLOOKUP("LULUCF|SO2|Asthma symptoms cough", US_national_yearly!$D:$AM, 19, FALSE) / VLOOKUP("LULUCF|SO2|Asthma symptoms cough", US_national_yearly!$D:$AM, 10, FALSE), 1)</f>
        <v>7.8597578252371015E-5</v>
      </c>
      <c r="L6" s="7">
        <f>$B6 * IFERROR(VLOOKUP("LULUCF|SO2|Asthma symptoms cough", US_national_yearly!$D:$AM, 20, FALSE) / VLOOKUP("LULUCF|SO2|Asthma symptoms cough", US_national_yearly!$D:$AM, 10, FALSE), 1)</f>
        <v>7.8597578252371015E-5</v>
      </c>
      <c r="M6" s="7">
        <f>$B6 * IFERROR(VLOOKUP("LULUCF|SO2|Asthma symptoms cough", US_national_yearly!$D:$AM, 21, FALSE) / VLOOKUP("LULUCF|SO2|Asthma symptoms cough", US_national_yearly!$D:$AM, 10, FALSE), 1)</f>
        <v>7.8597578252371015E-5</v>
      </c>
      <c r="N6" s="7">
        <f>$B6 * IFERROR(VLOOKUP("LULUCF|SO2|Asthma symptoms cough", US_national_yearly!$D:$AM, 22, FALSE) / VLOOKUP("LULUCF|SO2|Asthma symptoms cough", US_national_yearly!$D:$AM, 10, FALSE), 1)</f>
        <v>7.8597578252371015E-5</v>
      </c>
      <c r="O6" s="7">
        <f>$B6 * IFERROR(VLOOKUP("LULUCF|SO2|Asthma symptoms cough", US_national_yearly!$D:$AM, 23, FALSE) / VLOOKUP("LULUCF|SO2|Asthma symptoms cough", US_national_yearly!$D:$AM, 10, FALSE), 1)</f>
        <v>7.8597578252371015E-5</v>
      </c>
      <c r="P6" s="7">
        <f>$B6 * IFERROR(VLOOKUP("LULUCF|SO2|Asthma symptoms cough", US_national_yearly!$D:$AM, 24, FALSE) / VLOOKUP("LULUCF|SO2|Asthma symptoms cough", US_national_yearly!$D:$AM, 10, FALSE), 1)</f>
        <v>7.8597578252371015E-5</v>
      </c>
      <c r="Q6" s="7">
        <f>$B6 * IFERROR(VLOOKUP("LULUCF|SO2|Asthma symptoms cough", US_national_yearly!$D:$AM, 25, FALSE) / VLOOKUP("LULUCF|SO2|Asthma symptoms cough", US_national_yearly!$D:$AM, 10, FALSE), 1)</f>
        <v>7.8597578252371015E-5</v>
      </c>
      <c r="R6" s="7">
        <f>$B6 * IFERROR(VLOOKUP("LULUCF|SO2|Asthma symptoms cough", US_national_yearly!$D:$AM, 26, FALSE) / VLOOKUP("LULUCF|SO2|Asthma symptoms cough", US_national_yearly!$D:$AM, 10, FALSE), 1)</f>
        <v>7.8597578252371015E-5</v>
      </c>
      <c r="S6" s="7">
        <f>$B6 * IFERROR(VLOOKUP("LULUCF|SO2|Asthma symptoms cough", US_national_yearly!$D:$AM, 27, FALSE) / VLOOKUP("LULUCF|SO2|Asthma symptoms cough", US_national_yearly!$D:$AM, 10, FALSE), 1)</f>
        <v>7.8597578252371015E-5</v>
      </c>
      <c r="T6" s="7">
        <f>$B6 * IFERROR(VLOOKUP("LULUCF|SO2|Asthma symptoms cough", US_national_yearly!$D:$AM, 28, FALSE) / VLOOKUP("LULUCF|SO2|Asthma symptoms cough", US_national_yearly!$D:$AM, 10, FALSE), 1)</f>
        <v>7.8597578252371015E-5</v>
      </c>
      <c r="U6" s="7">
        <f>$B6 * IFERROR(VLOOKUP("LULUCF|SO2|Asthma symptoms cough", US_national_yearly!$D:$AM, 29, FALSE) / VLOOKUP("LULUCF|SO2|Asthma symptoms cough", US_national_yearly!$D:$AM, 10, FALSE), 1)</f>
        <v>7.8597578252371015E-5</v>
      </c>
      <c r="V6" s="7">
        <f>$B6 * IFERROR(VLOOKUP("LULUCF|SO2|Asthma symptoms cough", US_national_yearly!$D:$AM, 30, FALSE) / VLOOKUP("LULUCF|SO2|Asthma symptoms cough", US_national_yearly!$D:$AM, 10, FALSE), 1)</f>
        <v>7.8597578252371015E-5</v>
      </c>
      <c r="W6" s="7">
        <f>$B6 * IFERROR(VLOOKUP("LULUCF|SO2|Asthma symptoms cough", US_national_yearly!$D:$AM, 31, FALSE) / VLOOKUP("LULUCF|SO2|Asthma symptoms cough", US_national_yearly!$D:$AM, 10, FALSE), 1)</f>
        <v>7.8597578252371015E-5</v>
      </c>
      <c r="X6" s="7">
        <f>$B6 * IFERROR(VLOOKUP("LULUCF|SO2|Asthma symptoms cough", US_national_yearly!$D:$AM, 32, FALSE) / VLOOKUP("LULUCF|SO2|Asthma symptoms cough", US_national_yearly!$D:$AM, 10, FALSE), 1)</f>
        <v>7.8597578252371015E-5</v>
      </c>
      <c r="Y6" s="7">
        <f>$B6 * IFERROR(VLOOKUP("LULUCF|SO2|Asthma symptoms cough", US_national_yearly!$D:$AM, 33, FALSE) / VLOOKUP("LULUCF|SO2|Asthma symptoms cough", US_national_yearly!$D:$AM, 10, FALSE), 1)</f>
        <v>7.8597578252371015E-5</v>
      </c>
      <c r="Z6" s="7">
        <f>$B6 * IFERROR(VLOOKUP("LULUCF|SO2|Asthma symptoms cough", US_national_yearly!$D:$AM, 34, FALSE) / VLOOKUP("LULUCF|SO2|Asthma symptoms cough", US_national_yearly!$D:$AM, 10, FALSE), 1)</f>
        <v>7.8597578252371015E-5</v>
      </c>
      <c r="AA6" s="7">
        <f>$B6 * IFERROR(VLOOKUP("LULUCF|SO2|Asthma symptoms cough", US_national_yearly!$D:$AM, 35, FALSE) / VLOOKUP("LULUCF|SO2|Asthma symptoms cough", US_national_yearly!$D:$AM, 10, FALSE), 1)</f>
        <v>7.8597578252371015E-5</v>
      </c>
      <c r="AB6" s="7">
        <f>$B6 * IFERROR(VLOOKUP("LULUCF|SO2|Asthma symptoms cough", US_national_yearly!$D:$AM, 36, FALSE) / VLOOKUP("LULUCF|SO2|Asthma symptoms cough", US_national_yearly!$D:$AM, 10, FALSE), 1)</f>
        <v>7.8597578252371015E-5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1.0584316953981111E-4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1.0584316953981111E-4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1.0584316953981111E-4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1.0584316953981111E-4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1.0584316953981111E-4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1.0584316953981111E-4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1.0584316953981111E-4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1.0584316953981111E-4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1.0584316953981111E-4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1.0584316953981111E-4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1.0584316953981111E-4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1.0584316953981111E-4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1.0584316953981111E-4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1.0584316953981111E-4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1.0584316953981111E-4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1.0584316953981111E-4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1.0584316953981111E-4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1.0584316953981111E-4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1.0584316953981111E-4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1.0584316953981111E-4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1.0584316953981111E-4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1.0584316953981111E-4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1.0584316953981111E-4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1.0584316953981111E-4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1.0584316953981111E-4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1.0584316953981111E-4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1.0584316953981111E-4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1.617099761651636E-4</v>
      </c>
      <c r="C8" s="7">
        <f>$B8 * IFERROR(VLOOKUP("LULUCF|SO2|Asthma symptoms wheeze", US_national_yearly!$D:$AM, 11, FALSE) / VLOOKUP("LULUCF|SO2|Asthma symptoms wheeze", US_national_yearly!$D:$AM, 10, FALSE), 1)</f>
        <v>1.617099761651636E-4</v>
      </c>
      <c r="D8" s="7">
        <f>$B8 * IFERROR(VLOOKUP("LULUCF|SO2|Asthma symptoms wheeze", US_national_yearly!$D:$AM, 12, FALSE) / VLOOKUP("LULUCF|SO2|Asthma symptoms wheeze", US_national_yearly!$D:$AM, 10, FALSE), 1)</f>
        <v>1.617099761651636E-4</v>
      </c>
      <c r="E8" s="7">
        <f>$B8 * IFERROR(VLOOKUP("LULUCF|SO2|Asthma symptoms wheeze", US_national_yearly!$D:$AM, 13, FALSE) / VLOOKUP("LULUCF|SO2|Asthma symptoms wheeze", US_national_yearly!$D:$AM, 10, FALSE), 1)</f>
        <v>1.617099761651636E-4</v>
      </c>
      <c r="F8" s="7">
        <f>$B8 * IFERROR(VLOOKUP("LULUCF|SO2|Asthma symptoms wheeze", US_national_yearly!$D:$AM, 14, FALSE) / VLOOKUP("LULUCF|SO2|Asthma symptoms wheeze", US_national_yearly!$D:$AM, 10, FALSE), 1)</f>
        <v>1.617099761651636E-4</v>
      </c>
      <c r="G8" s="7">
        <f>$B8 * IFERROR(VLOOKUP("LULUCF|SO2|Asthma symptoms wheeze", US_national_yearly!$D:$AM, 15, FALSE) / VLOOKUP("LULUCF|SO2|Asthma symptoms wheeze", US_national_yearly!$D:$AM, 10, FALSE), 1)</f>
        <v>1.617099761651636E-4</v>
      </c>
      <c r="H8" s="7">
        <f>$B8 * IFERROR(VLOOKUP("LULUCF|SO2|Asthma symptoms wheeze", US_national_yearly!$D:$AM, 16, FALSE) / VLOOKUP("LULUCF|SO2|Asthma symptoms wheeze", US_national_yearly!$D:$AM, 10, FALSE), 1)</f>
        <v>1.617099761651636E-4</v>
      </c>
      <c r="I8" s="7">
        <f>$B8 * IFERROR(VLOOKUP("LULUCF|SO2|Asthma symptoms wheeze", US_national_yearly!$D:$AM, 17, FALSE) / VLOOKUP("LULUCF|SO2|Asthma symptoms wheeze", US_national_yearly!$D:$AM, 10, FALSE), 1)</f>
        <v>1.617099761651636E-4</v>
      </c>
      <c r="J8" s="7">
        <f>$B8 * IFERROR(VLOOKUP("LULUCF|SO2|Asthma symptoms wheeze", US_national_yearly!$D:$AM, 18, FALSE) / VLOOKUP("LULUCF|SO2|Asthma symptoms wheeze", US_national_yearly!$D:$AM, 10, FALSE), 1)</f>
        <v>1.617099761651636E-4</v>
      </c>
      <c r="K8" s="7">
        <f>$B8 * IFERROR(VLOOKUP("LULUCF|SO2|Asthma symptoms wheeze", US_national_yearly!$D:$AM, 19, FALSE) / VLOOKUP("LULUCF|SO2|Asthma symptoms wheeze", US_national_yearly!$D:$AM, 10, FALSE), 1)</f>
        <v>1.617099761651636E-4</v>
      </c>
      <c r="L8" s="7">
        <f>$B8 * IFERROR(VLOOKUP("LULUCF|SO2|Asthma symptoms wheeze", US_national_yearly!$D:$AM, 20, FALSE) / VLOOKUP("LULUCF|SO2|Asthma symptoms wheeze", US_national_yearly!$D:$AM, 10, FALSE), 1)</f>
        <v>1.617099761651636E-4</v>
      </c>
      <c r="M8" s="7">
        <f>$B8 * IFERROR(VLOOKUP("LULUCF|SO2|Asthma symptoms wheeze", US_national_yearly!$D:$AM, 21, FALSE) / VLOOKUP("LULUCF|SO2|Asthma symptoms wheeze", US_national_yearly!$D:$AM, 10, FALSE), 1)</f>
        <v>1.617099761651636E-4</v>
      </c>
      <c r="N8" s="7">
        <f>$B8 * IFERROR(VLOOKUP("LULUCF|SO2|Asthma symptoms wheeze", US_national_yearly!$D:$AM, 22, FALSE) / VLOOKUP("LULUCF|SO2|Asthma symptoms wheeze", US_national_yearly!$D:$AM, 10, FALSE), 1)</f>
        <v>1.617099761651636E-4</v>
      </c>
      <c r="O8" s="7">
        <f>$B8 * IFERROR(VLOOKUP("LULUCF|SO2|Asthma symptoms wheeze", US_national_yearly!$D:$AM, 23, FALSE) / VLOOKUP("LULUCF|SO2|Asthma symptoms wheeze", US_national_yearly!$D:$AM, 10, FALSE), 1)</f>
        <v>1.617099761651636E-4</v>
      </c>
      <c r="P8" s="7">
        <f>$B8 * IFERROR(VLOOKUP("LULUCF|SO2|Asthma symptoms wheeze", US_national_yearly!$D:$AM, 24, FALSE) / VLOOKUP("LULUCF|SO2|Asthma symptoms wheeze", US_national_yearly!$D:$AM, 10, FALSE), 1)</f>
        <v>1.617099761651636E-4</v>
      </c>
      <c r="Q8" s="7">
        <f>$B8 * IFERROR(VLOOKUP("LULUCF|SO2|Asthma symptoms wheeze", US_national_yearly!$D:$AM, 25, FALSE) / VLOOKUP("LULUCF|SO2|Asthma symptoms wheeze", US_national_yearly!$D:$AM, 10, FALSE), 1)</f>
        <v>1.617099761651636E-4</v>
      </c>
      <c r="R8" s="7">
        <f>$B8 * IFERROR(VLOOKUP("LULUCF|SO2|Asthma symptoms wheeze", US_national_yearly!$D:$AM, 26, FALSE) / VLOOKUP("LULUCF|SO2|Asthma symptoms wheeze", US_national_yearly!$D:$AM, 10, FALSE), 1)</f>
        <v>1.617099761651636E-4</v>
      </c>
      <c r="S8" s="7">
        <f>$B8 * IFERROR(VLOOKUP("LULUCF|SO2|Asthma symptoms wheeze", US_national_yearly!$D:$AM, 27, FALSE) / VLOOKUP("LULUCF|SO2|Asthma symptoms wheeze", US_national_yearly!$D:$AM, 10, FALSE), 1)</f>
        <v>1.617099761651636E-4</v>
      </c>
      <c r="T8" s="7">
        <f>$B8 * IFERROR(VLOOKUP("LULUCF|SO2|Asthma symptoms wheeze", US_national_yearly!$D:$AM, 28, FALSE) / VLOOKUP("LULUCF|SO2|Asthma symptoms wheeze", US_national_yearly!$D:$AM, 10, FALSE), 1)</f>
        <v>1.617099761651636E-4</v>
      </c>
      <c r="U8" s="7">
        <f>$B8 * IFERROR(VLOOKUP("LULUCF|SO2|Asthma symptoms wheeze", US_national_yearly!$D:$AM, 29, FALSE) / VLOOKUP("LULUCF|SO2|Asthma symptoms wheeze", US_national_yearly!$D:$AM, 10, FALSE), 1)</f>
        <v>1.617099761651636E-4</v>
      </c>
      <c r="V8" s="7">
        <f>$B8 * IFERROR(VLOOKUP("LULUCF|SO2|Asthma symptoms wheeze", US_national_yearly!$D:$AM, 30, FALSE) / VLOOKUP("LULUCF|SO2|Asthma symptoms wheeze", US_national_yearly!$D:$AM, 10, FALSE), 1)</f>
        <v>1.617099761651636E-4</v>
      </c>
      <c r="W8" s="7">
        <f>$B8 * IFERROR(VLOOKUP("LULUCF|SO2|Asthma symptoms wheeze", US_national_yearly!$D:$AM, 31, FALSE) / VLOOKUP("LULUCF|SO2|Asthma symptoms wheeze", US_national_yearly!$D:$AM, 10, FALSE), 1)</f>
        <v>1.617099761651636E-4</v>
      </c>
      <c r="X8" s="7">
        <f>$B8 * IFERROR(VLOOKUP("LULUCF|SO2|Asthma symptoms wheeze", US_national_yearly!$D:$AM, 32, FALSE) / VLOOKUP("LULUCF|SO2|Asthma symptoms wheeze", US_national_yearly!$D:$AM, 10, FALSE), 1)</f>
        <v>1.617099761651636E-4</v>
      </c>
      <c r="Y8" s="7">
        <f>$B8 * IFERROR(VLOOKUP("LULUCF|SO2|Asthma symptoms wheeze", US_national_yearly!$D:$AM, 33, FALSE) / VLOOKUP("LULUCF|SO2|Asthma symptoms wheeze", US_national_yearly!$D:$AM, 10, FALSE), 1)</f>
        <v>1.617099761651636E-4</v>
      </c>
      <c r="Z8" s="7">
        <f>$B8 * IFERROR(VLOOKUP("LULUCF|SO2|Asthma symptoms wheeze", US_national_yearly!$D:$AM, 34, FALSE) / VLOOKUP("LULUCF|SO2|Asthma symptoms wheeze", US_national_yearly!$D:$AM, 10, FALSE), 1)</f>
        <v>1.617099761651636E-4</v>
      </c>
      <c r="AA8" s="7">
        <f>$B8 * IFERROR(VLOOKUP("LULUCF|SO2|Asthma symptoms wheeze", US_national_yearly!$D:$AM, 35, FALSE) / VLOOKUP("LULUCF|SO2|Asthma symptoms wheeze", US_national_yearly!$D:$AM, 10, FALSE), 1)</f>
        <v>1.617099761651636E-4</v>
      </c>
      <c r="AB8" s="7">
        <f>$B8 * IFERROR(VLOOKUP("LULUCF|SO2|Asthma symptoms wheeze", US_national_yearly!$D:$AM, 36, FALSE) / VLOOKUP("LULUCF|SO2|Asthma symptoms wheeze", US_national_yearly!$D:$AM, 10, FALSE), 1)</f>
        <v>1.617099761651636E-4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2.9046695849163106E-6</v>
      </c>
      <c r="C12" s="7">
        <f>$B12 * IFERROR(VLOOKUP("LULUCF|SO2|Respiratory hospital admissions", US_national_yearly!$D:$AM, 11, FALSE) / VLOOKUP("LULUCF|SO2|Respiratory hospital admissions", US_national_yearly!$D:$AM, 10, FALSE), 1)</f>
        <v>2.9218014704754101E-6</v>
      </c>
      <c r="D12" s="7">
        <f>$B12 * IFERROR(VLOOKUP("LULUCF|SO2|Respiratory hospital admissions", US_national_yearly!$D:$AM, 12, FALSE) / VLOOKUP("LULUCF|SO2|Respiratory hospital admissions", US_national_yearly!$D:$AM, 10, FALSE), 1)</f>
        <v>2.9389333560345096E-6</v>
      </c>
      <c r="E12" s="7">
        <f>$B12 * IFERROR(VLOOKUP("LULUCF|SO2|Respiratory hospital admissions", US_national_yearly!$D:$AM, 13, FALSE) / VLOOKUP("LULUCF|SO2|Respiratory hospital admissions", US_national_yearly!$D:$AM, 10, FALSE), 1)</f>
        <v>2.9560652415936091E-6</v>
      </c>
      <c r="F12" s="7">
        <f>$B12 * IFERROR(VLOOKUP("LULUCF|SO2|Respiratory hospital admissions", US_national_yearly!$D:$AM, 14, FALSE) / VLOOKUP("LULUCF|SO2|Respiratory hospital admissions", US_national_yearly!$D:$AM, 10, FALSE), 1)</f>
        <v>2.9731971271527086E-6</v>
      </c>
      <c r="G12" s="7">
        <f>$B12 * IFERROR(VLOOKUP("LULUCF|SO2|Respiratory hospital admissions", US_national_yearly!$D:$AM, 15, FALSE) / VLOOKUP("LULUCF|SO2|Respiratory hospital admissions", US_national_yearly!$D:$AM, 10, FALSE), 1)</f>
        <v>2.9918737720643057E-6</v>
      </c>
      <c r="H12" s="7">
        <f>$B12 * IFERROR(VLOOKUP("LULUCF|SO2|Respiratory hospital admissions", US_national_yearly!$D:$AM, 16, FALSE) / VLOOKUP("LULUCF|SO2|Respiratory hospital admissions", US_national_yearly!$D:$AM, 10, FALSE), 1)</f>
        <v>3.0105504169759028E-6</v>
      </c>
      <c r="I12" s="7">
        <f>$B12 * IFERROR(VLOOKUP("LULUCF|SO2|Respiratory hospital admissions", US_national_yearly!$D:$AM, 17, FALSE) / VLOOKUP("LULUCF|SO2|Respiratory hospital admissions", US_national_yearly!$D:$AM, 10, FALSE), 1)</f>
        <v>3.0289678125772248E-6</v>
      </c>
      <c r="J12" s="7">
        <f>$B12 * IFERROR(VLOOKUP("LULUCF|SO2|Respiratory hospital admissions", US_national_yearly!$D:$AM, 18, FALSE) / VLOOKUP("LULUCF|SO2|Respiratory hospital admissions", US_national_yearly!$D:$AM, 10, FALSE), 1)</f>
        <v>3.0473852081785469E-6</v>
      </c>
      <c r="K12" s="7">
        <f>$B12 * IFERROR(VLOOKUP("LULUCF|SO2|Respiratory hospital admissions", US_national_yearly!$D:$AM, 19, FALSE) / VLOOKUP("LULUCF|SO2|Respiratory hospital admissions", US_national_yearly!$D:$AM, 10, FALSE), 1)</f>
        <v>3.0658026037798681E-6</v>
      </c>
      <c r="L12" s="7">
        <f>$B12 * IFERROR(VLOOKUP("LULUCF|SO2|Respiratory hospital admissions", US_national_yearly!$D:$AM, 20, FALSE) / VLOOKUP("LULUCF|SO2|Respiratory hospital admissions", US_national_yearly!$D:$AM, 10, FALSE), 1)</f>
        <v>3.0842199993811905E-6</v>
      </c>
      <c r="M12" s="7">
        <f>$B12 * IFERROR(VLOOKUP("LULUCF|SO2|Respiratory hospital admissions", US_national_yearly!$D:$AM, 21, FALSE) / VLOOKUP("LULUCF|SO2|Respiratory hospital admissions", US_national_yearly!$D:$AM, 10, FALSE), 1)</f>
        <v>3.1026373949825117E-6</v>
      </c>
      <c r="N12" s="7">
        <f>$B12 * IFERROR(VLOOKUP("LULUCF|SO2|Respiratory hospital admissions", US_national_yearly!$D:$AM, 22, FALSE) / VLOOKUP("LULUCF|SO2|Respiratory hospital admissions", US_national_yearly!$D:$AM, 10, FALSE), 1)</f>
        <v>3.1160815252523018E-6</v>
      </c>
      <c r="O12" s="7">
        <f>$B12 * IFERROR(VLOOKUP("LULUCF|SO2|Respiratory hospital admissions", US_national_yearly!$D:$AM, 23, FALSE) / VLOOKUP("LULUCF|SO2|Respiratory hospital admissions", US_national_yearly!$D:$AM, 10, FALSE), 1)</f>
        <v>3.1295256555220915E-6</v>
      </c>
      <c r="P12" s="7">
        <f>$B12 * IFERROR(VLOOKUP("LULUCF|SO2|Respiratory hospital admissions", US_national_yearly!$D:$AM, 24, FALSE) / VLOOKUP("LULUCF|SO2|Respiratory hospital admissions", US_national_yearly!$D:$AM, 10, FALSE), 1)</f>
        <v>3.1429697857918807E-6</v>
      </c>
      <c r="Q12" s="7">
        <f>$B12 * IFERROR(VLOOKUP("LULUCF|SO2|Respiratory hospital admissions", US_national_yearly!$D:$AM, 25, FALSE) / VLOOKUP("LULUCF|SO2|Respiratory hospital admissions", US_national_yearly!$D:$AM, 10, FALSE), 1)</f>
        <v>3.1564139160616712E-6</v>
      </c>
      <c r="R12" s="7">
        <f>$B12 * IFERROR(VLOOKUP("LULUCF|SO2|Respiratory hospital admissions", US_national_yearly!$D:$AM, 26, FALSE) / VLOOKUP("LULUCF|SO2|Respiratory hospital admissions", US_national_yearly!$D:$AM, 10, FALSE), 1)</f>
        <v>3.1698580463314609E-6</v>
      </c>
      <c r="S12" s="7">
        <f>$B12 * IFERROR(VLOOKUP("LULUCF|SO2|Respiratory hospital admissions", US_national_yearly!$D:$AM, 27, FALSE) / VLOOKUP("LULUCF|SO2|Respiratory hospital admissions", US_national_yearly!$D:$AM, 10, FALSE), 1)</f>
        <v>3.1826827207927543E-6</v>
      </c>
      <c r="T12" s="7">
        <f>$B12 * IFERROR(VLOOKUP("LULUCF|SO2|Respiratory hospital admissions", US_national_yearly!$D:$AM, 28, FALSE) / VLOOKUP("LULUCF|SO2|Respiratory hospital admissions", US_national_yearly!$D:$AM, 10, FALSE), 1)</f>
        <v>3.1955073952540476E-6</v>
      </c>
      <c r="U12" s="7">
        <f>$B12 * IFERROR(VLOOKUP("LULUCF|SO2|Respiratory hospital admissions", US_national_yearly!$D:$AM, 29, FALSE) / VLOOKUP("LULUCF|SO2|Respiratory hospital admissions", US_national_yearly!$D:$AM, 10, FALSE), 1)</f>
        <v>3.2083320697153409E-6</v>
      </c>
      <c r="V12" s="7">
        <f>$B12 * IFERROR(VLOOKUP("LULUCF|SO2|Respiratory hospital admissions", US_national_yearly!$D:$AM, 30, FALSE) / VLOOKUP("LULUCF|SO2|Respiratory hospital admissions", US_national_yearly!$D:$AM, 10, FALSE), 1)</f>
        <v>3.2211567441766347E-6</v>
      </c>
      <c r="W12" s="7">
        <f>$B12 * IFERROR(VLOOKUP("LULUCF|SO2|Respiratory hospital admissions", US_national_yearly!$D:$AM, 31, FALSE) / VLOOKUP("LULUCF|SO2|Respiratory hospital admissions", US_national_yearly!$D:$AM, 10, FALSE), 1)</f>
        <v>3.2339814186379285E-6</v>
      </c>
      <c r="X12" s="7">
        <f>$B12 * IFERROR(VLOOKUP("LULUCF|SO2|Respiratory hospital admissions", US_national_yearly!$D:$AM, 32, FALSE) / VLOOKUP("LULUCF|SO2|Respiratory hospital admissions", US_national_yearly!$D:$AM, 10, FALSE), 1)</f>
        <v>3.2461499291403736E-6</v>
      </c>
      <c r="Y12" s="7">
        <f>$B12 * IFERROR(VLOOKUP("LULUCF|SO2|Respiratory hospital admissions", US_national_yearly!$D:$AM, 33, FALSE) / VLOOKUP("LULUCF|SO2|Respiratory hospital admissions", US_national_yearly!$D:$AM, 10, FALSE), 1)</f>
        <v>3.2583184396428183E-6</v>
      </c>
      <c r="Z12" s="7">
        <f>$B12 * IFERROR(VLOOKUP("LULUCF|SO2|Respiratory hospital admissions", US_national_yearly!$D:$AM, 34, FALSE) / VLOOKUP("LULUCF|SO2|Respiratory hospital admissions", US_national_yearly!$D:$AM, 10, FALSE), 1)</f>
        <v>3.2704869501452634E-6</v>
      </c>
      <c r="AA12" s="7">
        <f>$B12 * IFERROR(VLOOKUP("LULUCF|SO2|Respiratory hospital admissions", US_national_yearly!$D:$AM, 35, FALSE) / VLOOKUP("LULUCF|SO2|Respiratory hospital admissions", US_national_yearly!$D:$AM, 10, FALSE), 1)</f>
        <v>3.282655460647708E-6</v>
      </c>
      <c r="AB12" s="7">
        <f>$B12 * IFERROR(VLOOKUP("LULUCF|SO2|Respiratory hospital admissions", US_national_yearly!$D:$AM, 36, FALSE) / VLOOKUP("LULUCF|SO2|Respiratory hospital admissions", US_national_yearly!$D:$AM, 10, FALSE), 1)</f>
        <v>3.2948239711501535E-6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1.2992152329148439E-5</v>
      </c>
      <c r="C13" s="7">
        <f>$B13 * IFERROR(VLOOKUP("LULUCF|SO2|Non-fatal heart attacks", US_national_yearly!$D:$AM, 11, FALSE) / VLOOKUP("LULUCF|SO2|Non-fatal heart attacks", US_national_yearly!$D:$AM, 10, FALSE), 1)</f>
        <v>1.337355473144751E-5</v>
      </c>
      <c r="D13" s="7">
        <f>$B13 * IFERROR(VLOOKUP("LULUCF|SO2|Non-fatal heart attacks", US_national_yearly!$D:$AM, 12, FALSE) / VLOOKUP("LULUCF|SO2|Non-fatal heart attacks", US_national_yearly!$D:$AM, 10, FALSE), 1)</f>
        <v>1.3754957133746579E-5</v>
      </c>
      <c r="E13" s="7">
        <f>$B13 * IFERROR(VLOOKUP("LULUCF|SO2|Non-fatal heart attacks", US_national_yearly!$D:$AM, 13, FALSE) / VLOOKUP("LULUCF|SO2|Non-fatal heart attacks", US_national_yearly!$D:$AM, 10, FALSE), 1)</f>
        <v>1.413635953604565E-5</v>
      </c>
      <c r="F13" s="7">
        <f>$B13 * IFERROR(VLOOKUP("LULUCF|SO2|Non-fatal heart attacks", US_national_yearly!$D:$AM, 14, FALSE) / VLOOKUP("LULUCF|SO2|Non-fatal heart attacks", US_national_yearly!$D:$AM, 10, FALSE), 1)</f>
        <v>1.4517761938344717E-5</v>
      </c>
      <c r="G13" s="7">
        <f>$B13 * IFERROR(VLOOKUP("LULUCF|SO2|Non-fatal heart attacks", US_national_yearly!$D:$AM, 15, FALSE) / VLOOKUP("LULUCF|SO2|Non-fatal heart attacks", US_national_yearly!$D:$AM, 10, FALSE), 1)</f>
        <v>1.4877459780946743E-5</v>
      </c>
      <c r="H13" s="7">
        <f>$B13 * IFERROR(VLOOKUP("LULUCF|SO2|Non-fatal heart attacks", US_national_yearly!$D:$AM, 16, FALSE) / VLOOKUP("LULUCF|SO2|Non-fatal heart attacks", US_national_yearly!$D:$AM, 10, FALSE), 1)</f>
        <v>1.5237157623548769E-5</v>
      </c>
      <c r="I13" s="7">
        <f>$B13 * IFERROR(VLOOKUP("LULUCF|SO2|Non-fatal heart attacks", US_national_yearly!$D:$AM, 17, FALSE) / VLOOKUP("LULUCF|SO2|Non-fatal heart attacks", US_national_yearly!$D:$AM, 10, FALSE), 1)</f>
        <v>1.5526601626784788E-5</v>
      </c>
      <c r="J13" s="7">
        <f>$B13 * IFERROR(VLOOKUP("LULUCF|SO2|Non-fatal heart attacks", US_national_yearly!$D:$AM, 18, FALSE) / VLOOKUP("LULUCF|SO2|Non-fatal heart attacks", US_national_yearly!$D:$AM, 10, FALSE), 1)</f>
        <v>1.5816045630020811E-5</v>
      </c>
      <c r="K13" s="7">
        <f>$B13 * IFERROR(VLOOKUP("LULUCF|SO2|Non-fatal heart attacks", US_national_yearly!$D:$AM, 19, FALSE) / VLOOKUP("LULUCF|SO2|Non-fatal heart attacks", US_national_yearly!$D:$AM, 10, FALSE), 1)</f>
        <v>1.6105489633256831E-5</v>
      </c>
      <c r="L13" s="7">
        <f>$B13 * IFERROR(VLOOKUP("LULUCF|SO2|Non-fatal heart attacks", US_national_yearly!$D:$AM, 20, FALSE) / VLOOKUP("LULUCF|SO2|Non-fatal heart attacks", US_national_yearly!$D:$AM, 10, FALSE), 1)</f>
        <v>1.6394933636492854E-5</v>
      </c>
      <c r="M13" s="7">
        <f>$B13 * IFERROR(VLOOKUP("LULUCF|SO2|Non-fatal heart attacks", US_national_yearly!$D:$AM, 21, FALSE) / VLOOKUP("LULUCF|SO2|Non-fatal heart attacks", US_national_yearly!$D:$AM, 10, FALSE), 1)</f>
        <v>1.6684377639728877E-5</v>
      </c>
      <c r="N13" s="7">
        <f>$B13 * IFERROR(VLOOKUP("LULUCF|SO2|Non-fatal heart attacks", US_national_yearly!$D:$AM, 22, FALSE) / VLOOKUP("LULUCF|SO2|Non-fatal heart attacks", US_national_yearly!$D:$AM, 10, FALSE), 1)</f>
        <v>1.6872317127977541E-5</v>
      </c>
      <c r="O13" s="7">
        <f>$B13 * IFERROR(VLOOKUP("LULUCF|SO2|Non-fatal heart attacks", US_national_yearly!$D:$AM, 23, FALSE) / VLOOKUP("LULUCF|SO2|Non-fatal heart attacks", US_national_yearly!$D:$AM, 10, FALSE), 1)</f>
        <v>1.706025661622621E-5</v>
      </c>
      <c r="P13" s="7">
        <f>$B13 * IFERROR(VLOOKUP("LULUCF|SO2|Non-fatal heart attacks", US_national_yearly!$D:$AM, 24, FALSE) / VLOOKUP("LULUCF|SO2|Non-fatal heart attacks", US_national_yearly!$D:$AM, 10, FALSE), 1)</f>
        <v>1.7248196104474878E-5</v>
      </c>
      <c r="Q13" s="7">
        <f>$B13 * IFERROR(VLOOKUP("LULUCF|SO2|Non-fatal heart attacks", US_national_yearly!$D:$AM, 25, FALSE) / VLOOKUP("LULUCF|SO2|Non-fatal heart attacks", US_national_yearly!$D:$AM, 10, FALSE), 1)</f>
        <v>1.7436135592723542E-5</v>
      </c>
      <c r="R13" s="7">
        <f>$B13 * IFERROR(VLOOKUP("LULUCF|SO2|Non-fatal heart attacks", US_national_yearly!$D:$AM, 26, FALSE) / VLOOKUP("LULUCF|SO2|Non-fatal heart attacks", US_national_yearly!$D:$AM, 10, FALSE), 1)</f>
        <v>1.7624075080972207E-5</v>
      </c>
      <c r="S13" s="7">
        <f>$B13 * IFERROR(VLOOKUP("LULUCF|SO2|Non-fatal heart attacks", US_national_yearly!$D:$AM, 27, FALSE) / VLOOKUP("LULUCF|SO2|Non-fatal heart attacks", US_national_yearly!$D:$AM, 10, FALSE), 1)</f>
        <v>1.7722197230666861E-5</v>
      </c>
      <c r="T13" s="7">
        <f>$B13 * IFERROR(VLOOKUP("LULUCF|SO2|Non-fatal heart attacks", US_national_yearly!$D:$AM, 28, FALSE) / VLOOKUP("LULUCF|SO2|Non-fatal heart attacks", US_national_yearly!$D:$AM, 10, FALSE), 1)</f>
        <v>1.7820319380361515E-5</v>
      </c>
      <c r="U13" s="7">
        <f>$B13 * IFERROR(VLOOKUP("LULUCF|SO2|Non-fatal heart attacks", US_national_yearly!$D:$AM, 29, FALSE) / VLOOKUP("LULUCF|SO2|Non-fatal heart attacks", US_national_yearly!$D:$AM, 10, FALSE), 1)</f>
        <v>1.7918441530056166E-5</v>
      </c>
      <c r="V13" s="7">
        <f>$B13 * IFERROR(VLOOKUP("LULUCF|SO2|Non-fatal heart attacks", US_national_yearly!$D:$AM, 30, FALSE) / VLOOKUP("LULUCF|SO2|Non-fatal heart attacks", US_national_yearly!$D:$AM, 10, FALSE), 1)</f>
        <v>1.801656367975082E-5</v>
      </c>
      <c r="W13" s="7">
        <f>$B13 * IFERROR(VLOOKUP("LULUCF|SO2|Non-fatal heart attacks", US_national_yearly!$D:$AM, 31, FALSE) / VLOOKUP("LULUCF|SO2|Non-fatal heart attacks", US_national_yearly!$D:$AM, 10, FALSE), 1)</f>
        <v>1.8114685829445477E-5</v>
      </c>
      <c r="X13" s="7">
        <f>$B13 * IFERROR(VLOOKUP("LULUCF|SO2|Non-fatal heart attacks", US_national_yearly!$D:$AM, 32, FALSE) / VLOOKUP("LULUCF|SO2|Non-fatal heart attacks", US_national_yearly!$D:$AM, 10, FALSE), 1)</f>
        <v>1.8188759469342619E-5</v>
      </c>
      <c r="Y13" s="7">
        <f>$B13 * IFERROR(VLOOKUP("LULUCF|SO2|Non-fatal heart attacks", US_national_yearly!$D:$AM, 33, FALSE) / VLOOKUP("LULUCF|SO2|Non-fatal heart attacks", US_national_yearly!$D:$AM, 10, FALSE), 1)</f>
        <v>1.8262833109239763E-5</v>
      </c>
      <c r="Z13" s="7">
        <f>$B13 * IFERROR(VLOOKUP("LULUCF|SO2|Non-fatal heart attacks", US_national_yearly!$D:$AM, 34, FALSE) / VLOOKUP("LULUCF|SO2|Non-fatal heart attacks", US_national_yearly!$D:$AM, 10, FALSE), 1)</f>
        <v>1.8336906749136905E-5</v>
      </c>
      <c r="AA13" s="7">
        <f>$B13 * IFERROR(VLOOKUP("LULUCF|SO2|Non-fatal heart attacks", US_national_yearly!$D:$AM, 35, FALSE) / VLOOKUP("LULUCF|SO2|Non-fatal heart attacks", US_national_yearly!$D:$AM, 10, FALSE), 1)</f>
        <v>1.8410980389034049E-5</v>
      </c>
      <c r="AB13" s="7">
        <f>$B13 * IFERROR(VLOOKUP("LULUCF|SO2|Non-fatal heart attacks", US_national_yearly!$D:$AM, 36, FALSE) / VLOOKUP("LULUCF|SO2|Non-fatal heart attacks", US_national_yearly!$D:$AM, 10, FALSE), 1)</f>
        <v>1.8485054028931191E-5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1.1332600333185323E-2</v>
      </c>
      <c r="C14" s="7">
        <f>$B14 * IFERROR(VLOOKUP("LULUCF|SO2|Minor restricted activity days", US_national_yearly!$D:$AM, 11, FALSE) / VLOOKUP("LULUCF|SO2|Minor restricted activity days", US_national_yearly!$D:$AM, 10, FALSE), 1)</f>
        <v>1.1361166042689859E-2</v>
      </c>
      <c r="D14" s="7">
        <f>$B14 * IFERROR(VLOOKUP("LULUCF|SO2|Minor restricted activity days", US_national_yearly!$D:$AM, 12, FALSE) / VLOOKUP("LULUCF|SO2|Minor restricted activity days", US_national_yearly!$D:$AM, 10, FALSE), 1)</f>
        <v>1.1389731752194394E-2</v>
      </c>
      <c r="E14" s="7">
        <f>$B14 * IFERROR(VLOOKUP("LULUCF|SO2|Minor restricted activity days", US_national_yearly!$D:$AM, 13, FALSE) / VLOOKUP("LULUCF|SO2|Minor restricted activity days", US_national_yearly!$D:$AM, 10, FALSE), 1)</f>
        <v>1.141829746169893E-2</v>
      </c>
      <c r="F14" s="7">
        <f>$B14 * IFERROR(VLOOKUP("LULUCF|SO2|Minor restricted activity days", US_national_yearly!$D:$AM, 14, FALSE) / VLOOKUP("LULUCF|SO2|Minor restricted activity days", US_national_yearly!$D:$AM, 10, FALSE), 1)</f>
        <v>1.1446863171203463E-2</v>
      </c>
      <c r="G14" s="7">
        <f>$B14 * IFERROR(VLOOKUP("LULUCF|SO2|Minor restricted activity days", US_national_yearly!$D:$AM, 15, FALSE) / VLOOKUP("LULUCF|SO2|Minor restricted activity days", US_national_yearly!$D:$AM, 10, FALSE), 1)</f>
        <v>1.1488909089283168E-2</v>
      </c>
      <c r="H14" s="7">
        <f>$B14 * IFERROR(VLOOKUP("LULUCF|SO2|Minor restricted activity days", US_national_yearly!$D:$AM, 16, FALSE) / VLOOKUP("LULUCF|SO2|Minor restricted activity days", US_national_yearly!$D:$AM, 10, FALSE), 1)</f>
        <v>1.1530955007362871E-2</v>
      </c>
      <c r="I14" s="7">
        <f>$B14 * IFERROR(VLOOKUP("LULUCF|SO2|Minor restricted activity days", US_national_yearly!$D:$AM, 17, FALSE) / VLOOKUP("LULUCF|SO2|Minor restricted activity days", US_national_yearly!$D:$AM, 10, FALSE), 1)</f>
        <v>1.1602660401509061E-2</v>
      </c>
      <c r="J14" s="7">
        <f>$B14 * IFERROR(VLOOKUP("LULUCF|SO2|Minor restricted activity days", US_national_yearly!$D:$AM, 18, FALSE) / VLOOKUP("LULUCF|SO2|Minor restricted activity days", US_national_yearly!$D:$AM, 10, FALSE), 1)</f>
        <v>1.1674365795655253E-2</v>
      </c>
      <c r="K14" s="7">
        <f>$B14 * IFERROR(VLOOKUP("LULUCF|SO2|Minor restricted activity days", US_national_yearly!$D:$AM, 19, FALSE) / VLOOKUP("LULUCF|SO2|Minor restricted activity days", US_national_yearly!$D:$AM, 10, FALSE), 1)</f>
        <v>1.1746071189801446E-2</v>
      </c>
      <c r="L14" s="7">
        <f>$B14 * IFERROR(VLOOKUP("LULUCF|SO2|Minor restricted activity days", US_national_yearly!$D:$AM, 20, FALSE) / VLOOKUP("LULUCF|SO2|Minor restricted activity days", US_national_yearly!$D:$AM, 10, FALSE), 1)</f>
        <v>1.1817776583947635E-2</v>
      </c>
      <c r="M14" s="7">
        <f>$B14 * IFERROR(VLOOKUP("LULUCF|SO2|Minor restricted activity days", US_national_yearly!$D:$AM, 21, FALSE) / VLOOKUP("LULUCF|SO2|Minor restricted activity days", US_national_yearly!$D:$AM, 10, FALSE), 1)</f>
        <v>1.1889481978093825E-2</v>
      </c>
      <c r="N14" s="7">
        <f>$B14 * IFERROR(VLOOKUP("LULUCF|SO2|Minor restricted activity days", US_national_yearly!$D:$AM, 22, FALSE) / VLOOKUP("LULUCF|SO2|Minor restricted activity days", US_national_yearly!$D:$AM, 10, FALSE), 1)</f>
        <v>1.1987563451511524E-2</v>
      </c>
      <c r="O14" s="7">
        <f>$B14 * IFERROR(VLOOKUP("LULUCF|SO2|Minor restricted activity days", US_national_yearly!$D:$AM, 23, FALSE) / VLOOKUP("LULUCF|SO2|Minor restricted activity days", US_national_yearly!$D:$AM, 10, FALSE), 1)</f>
        <v>1.2085644924929223E-2</v>
      </c>
      <c r="P14" s="7">
        <f>$B14 * IFERROR(VLOOKUP("LULUCF|SO2|Minor restricted activity days", US_national_yearly!$D:$AM, 24, FALSE) / VLOOKUP("LULUCF|SO2|Minor restricted activity days", US_national_yearly!$D:$AM, 10, FALSE), 1)</f>
        <v>1.2183726398346922E-2</v>
      </c>
      <c r="Q14" s="7">
        <f>$B14 * IFERROR(VLOOKUP("LULUCF|SO2|Minor restricted activity days", US_national_yearly!$D:$AM, 25, FALSE) / VLOOKUP("LULUCF|SO2|Minor restricted activity days", US_national_yearly!$D:$AM, 10, FALSE), 1)</f>
        <v>1.2281807871764619E-2</v>
      </c>
      <c r="R14" s="7">
        <f>$B14 * IFERROR(VLOOKUP("LULUCF|SO2|Minor restricted activity days", US_national_yearly!$D:$AM, 26, FALSE) / VLOOKUP("LULUCF|SO2|Minor restricted activity days", US_national_yearly!$D:$AM, 10, FALSE), 1)</f>
        <v>1.2379889345182318E-2</v>
      </c>
      <c r="S14" s="7">
        <f>$B14 * IFERROR(VLOOKUP("LULUCF|SO2|Minor restricted activity days", US_national_yearly!$D:$AM, 27, FALSE) / VLOOKUP("LULUCF|SO2|Minor restricted activity days", US_national_yearly!$D:$AM, 10, FALSE), 1)</f>
        <v>1.2479893006950423E-2</v>
      </c>
      <c r="T14" s="7">
        <f>$B14 * IFERROR(VLOOKUP("LULUCF|SO2|Minor restricted activity days", US_national_yearly!$D:$AM, 28, FALSE) / VLOOKUP("LULUCF|SO2|Minor restricted activity days", US_national_yearly!$D:$AM, 10, FALSE), 1)</f>
        <v>1.2579896668718529E-2</v>
      </c>
      <c r="U14" s="7">
        <f>$B14 * IFERROR(VLOOKUP("LULUCF|SO2|Minor restricted activity days", US_national_yearly!$D:$AM, 29, FALSE) / VLOOKUP("LULUCF|SO2|Minor restricted activity days", US_national_yearly!$D:$AM, 10, FALSE), 1)</f>
        <v>1.2679900330486632E-2</v>
      </c>
      <c r="V14" s="7">
        <f>$B14 * IFERROR(VLOOKUP("LULUCF|SO2|Minor restricted activity days", US_national_yearly!$D:$AM, 30, FALSE) / VLOOKUP("LULUCF|SO2|Minor restricted activity days", US_national_yearly!$D:$AM, 10, FALSE), 1)</f>
        <v>1.2779903992254737E-2</v>
      </c>
      <c r="W14" s="7">
        <f>$B14 * IFERROR(VLOOKUP("LULUCF|SO2|Minor restricted activity days", US_national_yearly!$D:$AM, 31, FALSE) / VLOOKUP("LULUCF|SO2|Minor restricted activity days", US_national_yearly!$D:$AM, 10, FALSE), 1)</f>
        <v>1.2879907654022846E-2</v>
      </c>
      <c r="X14" s="7">
        <f>$B14 * IFERROR(VLOOKUP("LULUCF|SO2|Minor restricted activity days", US_national_yearly!$D:$AM, 32, FALSE) / VLOOKUP("LULUCF|SO2|Minor restricted activity days", US_national_yearly!$D:$AM, 10, FALSE), 1)</f>
        <v>1.2967852905374451E-2</v>
      </c>
      <c r="Y14" s="7">
        <f>$B14 * IFERROR(VLOOKUP("LULUCF|SO2|Minor restricted activity days", US_national_yearly!$D:$AM, 33, FALSE) / VLOOKUP("LULUCF|SO2|Minor restricted activity days", US_national_yearly!$D:$AM, 10, FALSE), 1)</f>
        <v>1.3055798156726056E-2</v>
      </c>
      <c r="Z14" s="7">
        <f>$B14 * IFERROR(VLOOKUP("LULUCF|SO2|Minor restricted activity days", US_national_yearly!$D:$AM, 34, FALSE) / VLOOKUP("LULUCF|SO2|Minor restricted activity days", US_national_yearly!$D:$AM, 10, FALSE), 1)</f>
        <v>1.3143743408077663E-2</v>
      </c>
      <c r="AA14" s="7">
        <f>$B14 * IFERROR(VLOOKUP("LULUCF|SO2|Minor restricted activity days", US_national_yearly!$D:$AM, 35, FALSE) / VLOOKUP("LULUCF|SO2|Minor restricted activity days", US_national_yearly!$D:$AM, 10, FALSE), 1)</f>
        <v>1.3231688659429268E-2</v>
      </c>
      <c r="AB14" s="7">
        <f>$B14 * IFERROR(VLOOKUP("LULUCF|SO2|Minor restricted activity days", US_national_yearly!$D:$AM, 36, FALSE) / VLOOKUP("LULUCF|SO2|Minor restricted activity days", US_national_yearly!$D:$AM, 10, FALSE), 1)</f>
        <v>1.3319633910780877E-2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1.902461848776945E-3</v>
      </c>
      <c r="C15" s="7">
        <f>$B15 * IFERROR(VLOOKUP("LULUCF|SO2|Work loss days", US_national_yearly!$D:$AM, 11, FALSE) / VLOOKUP("LULUCF|SO2|Work loss days", US_national_yearly!$D:$AM, 10, FALSE), 1)</f>
        <v>1.9086255227974175E-3</v>
      </c>
      <c r="D15" s="7">
        <f>$B15 * IFERROR(VLOOKUP("LULUCF|SO2|Work loss days", US_national_yearly!$D:$AM, 12, FALSE) / VLOOKUP("LULUCF|SO2|Work loss days", US_national_yearly!$D:$AM, 10, FALSE), 1)</f>
        <v>1.91478919681789E-3</v>
      </c>
      <c r="E15" s="7">
        <f>$B15 * IFERROR(VLOOKUP("LULUCF|SO2|Work loss days", US_national_yearly!$D:$AM, 13, FALSE) / VLOOKUP("LULUCF|SO2|Work loss days", US_national_yearly!$D:$AM, 10, FALSE), 1)</f>
        <v>1.9209528708383622E-3</v>
      </c>
      <c r="F15" s="7">
        <f>$B15 * IFERROR(VLOOKUP("LULUCF|SO2|Work loss days", US_national_yearly!$D:$AM, 14, FALSE) / VLOOKUP("LULUCF|SO2|Work loss days", US_national_yearly!$D:$AM, 10, FALSE), 1)</f>
        <v>1.9271165448588347E-3</v>
      </c>
      <c r="G15" s="7">
        <f>$B15 * IFERROR(VLOOKUP("LULUCF|SO2|Work loss days", US_national_yearly!$D:$AM, 15, FALSE) / VLOOKUP("LULUCF|SO2|Work loss days", US_national_yearly!$D:$AM, 10, FALSE), 1)</f>
        <v>1.9351701391403019E-3</v>
      </c>
      <c r="H15" s="7">
        <f>$B15 * IFERROR(VLOOKUP("LULUCF|SO2|Work loss days", US_national_yearly!$D:$AM, 16, FALSE) / VLOOKUP("LULUCF|SO2|Work loss days", US_national_yearly!$D:$AM, 10, FALSE), 1)</f>
        <v>1.9432237334217686E-3</v>
      </c>
      <c r="I15" s="7">
        <f>$B15 * IFERROR(VLOOKUP("LULUCF|SO2|Work loss days", US_national_yearly!$D:$AM, 17, FALSE) / VLOOKUP("LULUCF|SO2|Work loss days", US_national_yearly!$D:$AM, 10, FALSE), 1)</f>
        <v>1.9550050607385194E-3</v>
      </c>
      <c r="J15" s="7">
        <f>$B15 * IFERROR(VLOOKUP("LULUCF|SO2|Work loss days", US_national_yearly!$D:$AM, 18, FALSE) / VLOOKUP("LULUCF|SO2|Work loss days", US_national_yearly!$D:$AM, 10, FALSE), 1)</f>
        <v>1.9667863880552692E-3</v>
      </c>
      <c r="K15" s="7">
        <f>$B15 * IFERROR(VLOOKUP("LULUCF|SO2|Work loss days", US_national_yearly!$D:$AM, 19, FALSE) / VLOOKUP("LULUCF|SO2|Work loss days", US_national_yearly!$D:$AM, 10, FALSE), 1)</f>
        <v>1.97856771537202E-3</v>
      </c>
      <c r="L15" s="7">
        <f>$B15 * IFERROR(VLOOKUP("LULUCF|SO2|Work loss days", US_national_yearly!$D:$AM, 20, FALSE) / VLOOKUP("LULUCF|SO2|Work loss days", US_national_yearly!$D:$AM, 10, FALSE), 1)</f>
        <v>1.9903490426887707E-3</v>
      </c>
      <c r="M15" s="7">
        <f>$B15 * IFERROR(VLOOKUP("LULUCF|SO2|Work loss days", US_national_yearly!$D:$AM, 21, FALSE) / VLOOKUP("LULUCF|SO2|Work loss days", US_national_yearly!$D:$AM, 10, FALSE), 1)</f>
        <v>2.002130370005521E-3</v>
      </c>
      <c r="N15" s="7">
        <f>$B15 * IFERROR(VLOOKUP("LULUCF|SO2|Work loss days", US_national_yearly!$D:$AM, 22, FALSE) / VLOOKUP("LULUCF|SO2|Work loss days", US_national_yearly!$D:$AM, 10, FALSE), 1)</f>
        <v>2.0169022452898233E-3</v>
      </c>
      <c r="O15" s="7">
        <f>$B15 * IFERROR(VLOOKUP("LULUCF|SO2|Work loss days", US_national_yearly!$D:$AM, 23, FALSE) / VLOOKUP("LULUCF|SO2|Work loss days", US_national_yearly!$D:$AM, 10, FALSE), 1)</f>
        <v>2.0316741205741251E-3</v>
      </c>
      <c r="P15" s="7">
        <f>$B15 * IFERROR(VLOOKUP("LULUCF|SO2|Work loss days", US_national_yearly!$D:$AM, 24, FALSE) / VLOOKUP("LULUCF|SO2|Work loss days", US_national_yearly!$D:$AM, 10, FALSE), 1)</f>
        <v>2.046445995858427E-3</v>
      </c>
      <c r="Q15" s="7">
        <f>$B15 * IFERROR(VLOOKUP("LULUCF|SO2|Work loss days", US_national_yearly!$D:$AM, 25, FALSE) / VLOOKUP("LULUCF|SO2|Work loss days", US_national_yearly!$D:$AM, 10, FALSE), 1)</f>
        <v>2.0612178711427293E-3</v>
      </c>
      <c r="R15" s="7">
        <f>$B15 * IFERROR(VLOOKUP("LULUCF|SO2|Work loss days", US_national_yearly!$D:$AM, 26, FALSE) / VLOOKUP("LULUCF|SO2|Work loss days", US_national_yearly!$D:$AM, 10, FALSE), 1)</f>
        <v>2.0759897464270312E-3</v>
      </c>
      <c r="S15" s="7">
        <f>$B15 * IFERROR(VLOOKUP("LULUCF|SO2|Work loss days", US_national_yearly!$D:$AM, 27, FALSE) / VLOOKUP("LULUCF|SO2|Work loss days", US_national_yearly!$D:$AM, 10, FALSE), 1)</f>
        <v>2.092497268354988E-3</v>
      </c>
      <c r="T15" s="7">
        <f>$B15 * IFERROR(VLOOKUP("LULUCF|SO2|Work loss days", US_national_yearly!$D:$AM, 28, FALSE) / VLOOKUP("LULUCF|SO2|Work loss days", US_national_yearly!$D:$AM, 10, FALSE), 1)</f>
        <v>2.1090047902829452E-3</v>
      </c>
      <c r="U15" s="7">
        <f>$B15 * IFERROR(VLOOKUP("LULUCF|SO2|Work loss days", US_national_yearly!$D:$AM, 29, FALSE) / VLOOKUP("LULUCF|SO2|Work loss days", US_national_yearly!$D:$AM, 10, FALSE), 1)</f>
        <v>2.1255123122109021E-3</v>
      </c>
      <c r="V15" s="7">
        <f>$B15 * IFERROR(VLOOKUP("LULUCF|SO2|Work loss days", US_national_yearly!$D:$AM, 30, FALSE) / VLOOKUP("LULUCF|SO2|Work loss days", US_national_yearly!$D:$AM, 10, FALSE), 1)</f>
        <v>2.1420198341388589E-3</v>
      </c>
      <c r="W15" s="7">
        <f>$B15 * IFERROR(VLOOKUP("LULUCF|SO2|Work loss days", US_national_yearly!$D:$AM, 31, FALSE) / VLOOKUP("LULUCF|SO2|Work loss days", US_national_yearly!$D:$AM, 10, FALSE), 1)</f>
        <v>2.1585273560668157E-3</v>
      </c>
      <c r="X15" s="7">
        <f>$B15 * IFERROR(VLOOKUP("LULUCF|SO2|Work loss days", US_national_yearly!$D:$AM, 32, FALSE) / VLOOKUP("LULUCF|SO2|Work loss days", US_national_yearly!$D:$AM, 10, FALSE), 1)</f>
        <v>2.1733488354171702E-3</v>
      </c>
      <c r="Y15" s="7">
        <f>$B15 * IFERROR(VLOOKUP("LULUCF|SO2|Work loss days", US_national_yearly!$D:$AM, 33, FALSE) / VLOOKUP("LULUCF|SO2|Work loss days", US_national_yearly!$D:$AM, 10, FALSE), 1)</f>
        <v>2.1881703147675251E-3</v>
      </c>
      <c r="Z15" s="7">
        <f>$B15 * IFERROR(VLOOKUP("LULUCF|SO2|Work loss days", US_national_yearly!$D:$AM, 34, FALSE) / VLOOKUP("LULUCF|SO2|Work loss days", US_national_yearly!$D:$AM, 10, FALSE), 1)</f>
        <v>2.20299179411788E-3</v>
      </c>
      <c r="AA15" s="7">
        <f>$B15 * IFERROR(VLOOKUP("LULUCF|SO2|Work loss days", US_national_yearly!$D:$AM, 35, FALSE) / VLOOKUP("LULUCF|SO2|Work loss days", US_national_yearly!$D:$AM, 10, FALSE), 1)</f>
        <v>2.2178132734682345E-3</v>
      </c>
      <c r="AB15" s="7">
        <f>$B15 * IFERROR(VLOOKUP("LULUCF|SO2|Work loss days", US_national_yearly!$D:$AM, 36, FALSE) / VLOOKUP("LULUCF|SO2|Work loss days", US_national_yearly!$D:$AM, 10, FALSE), 1)</f>
        <v>2.2326347528185894E-3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2.9571189427914002E-6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3.0465535436770719E-6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3.1359881445627436E-6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3.2254227454484153E-6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3.3148573463340879E-6</v>
      </c>
      <c r="G17" s="7">
        <f>$B17 * IFERROR(VLOOKUP("LULUCF|SO2|Cardiovascular hospital admissions", US_national_yearly!$D:$AM, 15, FALSE) / VLOOKUP("LULUCF|SO2|Cardiovascular hospital admissions", US_national_yearly!$D:$AM, 10, FALSE), 1)</f>
        <v>3.4005271900812208E-6</v>
      </c>
      <c r="H17" s="7">
        <f>$B17 * IFERROR(VLOOKUP("LULUCF|SO2|Cardiovascular hospital admissions", US_national_yearly!$D:$AM, 16, FALSE) / VLOOKUP("LULUCF|SO2|Cardiovascular hospital admissions", US_national_yearly!$D:$AM, 10, FALSE), 1)</f>
        <v>3.4861970338283549E-6</v>
      </c>
      <c r="I17" s="7">
        <f>$B17 * IFERROR(VLOOKUP("LULUCF|SO2|Cardiovascular hospital admissions", US_national_yearly!$D:$AM, 17, FALSE) / VLOOKUP("LULUCF|SO2|Cardiovascular hospital admissions", US_national_yearly!$D:$AM, 10, FALSE), 1)</f>
        <v>3.5595993715955846E-6</v>
      </c>
      <c r="J17" s="7">
        <f>$B17 * IFERROR(VLOOKUP("LULUCF|SO2|Cardiovascular hospital admissions", US_national_yearly!$D:$AM, 18, FALSE) / VLOOKUP("LULUCF|SO2|Cardiovascular hospital admissions", US_national_yearly!$D:$AM, 10, FALSE), 1)</f>
        <v>3.6330017093628146E-6</v>
      </c>
      <c r="K17" s="7">
        <f>$B17 * IFERROR(VLOOKUP("LULUCF|SO2|Cardiovascular hospital admissions", US_national_yearly!$D:$AM, 19, FALSE) / VLOOKUP("LULUCF|SO2|Cardiovascular hospital admissions", US_national_yearly!$D:$AM, 10, FALSE), 1)</f>
        <v>3.7064040471300443E-6</v>
      </c>
      <c r="L17" s="7">
        <f>$B17 * IFERROR(VLOOKUP("LULUCF|SO2|Cardiovascular hospital admissions", US_national_yearly!$D:$AM, 20, FALSE) / VLOOKUP("LULUCF|SO2|Cardiovascular hospital admissions", US_national_yearly!$D:$AM, 10, FALSE), 1)</f>
        <v>3.7798063848972744E-6</v>
      </c>
      <c r="M17" s="7">
        <f>$B17 * IFERROR(VLOOKUP("LULUCF|SO2|Cardiovascular hospital admissions", US_national_yearly!$D:$AM, 21, FALSE) / VLOOKUP("LULUCF|SO2|Cardiovascular hospital admissions", US_national_yearly!$D:$AM, 10, FALSE), 1)</f>
        <v>3.853208722664504E-6</v>
      </c>
      <c r="N17" s="7">
        <f>$B17 * IFERROR(VLOOKUP("LULUCF|SO2|Cardiovascular hospital admissions", US_national_yearly!$D:$AM, 22, FALSE) / VLOOKUP("LULUCF|SO2|Cardiovascular hospital admissions", US_national_yearly!$D:$AM, 10, FALSE), 1)</f>
        <v>3.9025183733423317E-6</v>
      </c>
      <c r="O17" s="7">
        <f>$B17 * IFERROR(VLOOKUP("LULUCF|SO2|Cardiovascular hospital admissions", US_national_yearly!$D:$AM, 23, FALSE) / VLOOKUP("LULUCF|SO2|Cardiovascular hospital admissions", US_national_yearly!$D:$AM, 10, FALSE), 1)</f>
        <v>3.9518280240201603E-6</v>
      </c>
      <c r="P17" s="7">
        <f>$B17 * IFERROR(VLOOKUP("LULUCF|SO2|Cardiovascular hospital admissions", US_national_yearly!$D:$AM, 24, FALSE) / VLOOKUP("LULUCF|SO2|Cardiovascular hospital admissions", US_national_yearly!$D:$AM, 10, FALSE), 1)</f>
        <v>4.001137674697988E-6</v>
      </c>
      <c r="Q17" s="7">
        <f>$B17 * IFERROR(VLOOKUP("LULUCF|SO2|Cardiovascular hospital admissions", US_national_yearly!$D:$AM, 25, FALSE) / VLOOKUP("LULUCF|SO2|Cardiovascular hospital admissions", US_national_yearly!$D:$AM, 10, FALSE), 1)</f>
        <v>4.0504473253758156E-6</v>
      </c>
      <c r="R17" s="7">
        <f>$B17 * IFERROR(VLOOKUP("LULUCF|SO2|Cardiovascular hospital admissions", US_national_yearly!$D:$AM, 26, FALSE) / VLOOKUP("LULUCF|SO2|Cardiovascular hospital admissions", US_national_yearly!$D:$AM, 10, FALSE), 1)</f>
        <v>4.0997569760536442E-6</v>
      </c>
      <c r="S17" s="7">
        <f>$B17 * IFERROR(VLOOKUP("LULUCF|SO2|Cardiovascular hospital admissions", US_national_yearly!$D:$AM, 27, FALSE) / VLOOKUP("LULUCF|SO2|Cardiovascular hospital admissions", US_national_yearly!$D:$AM, 10, FALSE), 1)</f>
        <v>4.1256903414597743E-6</v>
      </c>
      <c r="T17" s="7">
        <f>$B17 * IFERROR(VLOOKUP("LULUCF|SO2|Cardiovascular hospital admissions", US_national_yearly!$D:$AM, 28, FALSE) / VLOOKUP("LULUCF|SO2|Cardiovascular hospital admissions", US_national_yearly!$D:$AM, 10, FALSE), 1)</f>
        <v>4.1516237068659044E-6</v>
      </c>
      <c r="U17" s="7">
        <f>$B17 * IFERROR(VLOOKUP("LULUCF|SO2|Cardiovascular hospital admissions", US_national_yearly!$D:$AM, 29, FALSE) / VLOOKUP("LULUCF|SO2|Cardiovascular hospital admissions", US_national_yearly!$D:$AM, 10, FALSE), 1)</f>
        <v>4.1775570722720345E-6</v>
      </c>
      <c r="V17" s="7">
        <f>$B17 * IFERROR(VLOOKUP("LULUCF|SO2|Cardiovascular hospital admissions", US_national_yearly!$D:$AM, 30, FALSE) / VLOOKUP("LULUCF|SO2|Cardiovascular hospital admissions", US_national_yearly!$D:$AM, 10, FALSE), 1)</f>
        <v>4.2034904376781647E-6</v>
      </c>
      <c r="W17" s="7">
        <f>$B17 * IFERROR(VLOOKUP("LULUCF|SO2|Cardiovascular hospital admissions", US_national_yearly!$D:$AM, 31, FALSE) / VLOOKUP("LULUCF|SO2|Cardiovascular hospital admissions", US_national_yearly!$D:$AM, 10, FALSE), 1)</f>
        <v>4.2294238030842948E-6</v>
      </c>
      <c r="X17" s="7">
        <f>$B17 * IFERROR(VLOOKUP("LULUCF|SO2|Cardiovascular hospital admissions", US_national_yearly!$D:$AM, 32, FALSE) / VLOOKUP("LULUCF|SO2|Cardiovascular hospital admissions", US_national_yearly!$D:$AM, 10, FALSE), 1)</f>
        <v>4.2468337285729925E-6</v>
      </c>
      <c r="Y17" s="7">
        <f>$B17 * IFERROR(VLOOKUP("LULUCF|SO2|Cardiovascular hospital admissions", US_national_yearly!$D:$AM, 33, FALSE) / VLOOKUP("LULUCF|SO2|Cardiovascular hospital admissions", US_national_yearly!$D:$AM, 10, FALSE), 1)</f>
        <v>4.2642436540616893E-6</v>
      </c>
      <c r="Z17" s="7">
        <f>$B17 * IFERROR(VLOOKUP("LULUCF|SO2|Cardiovascular hospital admissions", US_national_yearly!$D:$AM, 34, FALSE) / VLOOKUP("LULUCF|SO2|Cardiovascular hospital admissions", US_national_yearly!$D:$AM, 10, FALSE), 1)</f>
        <v>4.2816535795503871E-6</v>
      </c>
      <c r="AA17" s="7">
        <f>$B17 * IFERROR(VLOOKUP("LULUCF|SO2|Cardiovascular hospital admissions", US_national_yearly!$D:$AM, 35, FALSE) / VLOOKUP("LULUCF|SO2|Cardiovascular hospital admissions", US_national_yearly!$D:$AM, 10, FALSE), 1)</f>
        <v>4.2990635050390856E-6</v>
      </c>
      <c r="AB17" s="7">
        <f>$B17 * IFERROR(VLOOKUP("LULUCF|SO2|Cardiovascular hospital admissions", US_national_yearly!$D:$AM, 36, FALSE) / VLOOKUP("LULUCF|SO2|Cardiovascular hospital admissions", US_national_yearly!$D:$AM, 10, FALSE), 1)</f>
        <v>4.3164734305277825E-6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2026-06-15T17:17:37Z</dcterms:modified>
</cp:coreProperties>
</file>