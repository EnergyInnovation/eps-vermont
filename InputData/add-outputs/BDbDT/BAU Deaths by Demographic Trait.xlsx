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53A093EB-E9EE-4A29-A9B1-37FAD4CCBDDE}"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<sst xmlns="http://schemas.openxmlformats.org/spreadsheetml/2006/main" count="5677" uniqueCount="335">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</sst>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174</v>
      </c>
    </row>
    <row r="2" spans="1:2" x14ac:dyDescent="0.25">
      <c r="A2" s="3" t="s">
        <v>2</v>
      </c>
      <c r="B2" s="4" t="str">
        <f>IFERROR(INDEX(Geography!B:B, MATCH($B$1, Geography!C:C, 0)), "")</f>
        <v>VT</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321798</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1.0009406604611941</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326695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0.99907516645254968</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604630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1.2407134759600642</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11277</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0.12729200552196449</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15085</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0.36025079648519898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17501</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0.57000252434402432</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17401</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0.13750653017403067</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631092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648493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1.209112931560764</v>
      </c>
    </row>
    <row r="12" spans="1:28" x14ac:dyDescent="0.25">
      <c r="A12" s="4" t="s">
        <v>319</v>
      </c>
    </row>
    <row r="13" spans="1:28" x14ac:dyDescent="0.25">
      <c r="A13" s="4" t="s">
        <v>320</v>
      </c>
      <c r="B13" s="37">
        <f>INDEX(Census_pop_2020_2025!G:G, MATCH("."&amp;About!$B$1, Census_pop_2020_2025!A:A, 0))</f>
        <v>646521</v>
      </c>
      <c r="C13" s="37">
        <f>INDEX(Census_pop_2020_2025!H:H, MATCH("."&amp;About!$B$1, Census_pop_2020_2025!A:A, 0))</f>
        <v>644663</v>
      </c>
      <c r="D13" s="37">
        <f>INDEX(Census_pop_2020_2025!H:H, MATCH("."&amp;About!$B$1, Census_pop_2020_2025!A:A, 0))+0.2*(INDEX(Cooper_pop_2030_2050!D:D, MATCH(About!$B$1, Cooper_pop_2030_2050!B:B, 0))-INDEX(Census_pop_2020_2025!H:H, MATCH("."&amp;About!$B$1, Census_pop_2020_2025!A:A, 0)))</f>
        <v>646994.22896022478</v>
      </c>
      <c r="E13" s="37">
        <f>INDEX(Census_pop_2020_2025!H:H, MATCH("."&amp;About!$B$1, Census_pop_2020_2025!A:A, 0))+0.4*(INDEX(Cooper_pop_2030_2050!D:D, MATCH(About!$B$1, Cooper_pop_2030_2050!B:B, 0))-INDEX(Census_pop_2020_2025!H:H, MATCH("."&amp;About!$B$1, Census_pop_2020_2025!A:A, 0)))</f>
        <v>649325.45792044955</v>
      </c>
      <c r="F13" s="37">
        <f>INDEX(Census_pop_2020_2025!H:H, MATCH("."&amp;About!$B$1, Census_pop_2020_2025!A:A, 0))+0.6*(INDEX(Cooper_pop_2030_2050!D:D, MATCH(About!$B$1, Cooper_pop_2030_2050!B:B, 0))-INDEX(Census_pop_2020_2025!H:H, MATCH("."&amp;About!$B$1, Census_pop_2020_2025!A:A, 0)))</f>
        <v>651656.68688067421</v>
      </c>
      <c r="G13" s="37">
        <f>INDEX(Census_pop_2020_2025!H:H, MATCH("."&amp;About!$B$1, Census_pop_2020_2025!A:A, 0))+0.8*(INDEX(Cooper_pop_2030_2050!D:D, MATCH(About!$B$1, Cooper_pop_2030_2050!B:B, 0))-INDEX(Census_pop_2020_2025!H:H, MATCH("."&amp;About!$B$1, Census_pop_2020_2025!A:A, 0)))</f>
        <v>653987.91584089899</v>
      </c>
      <c r="H13" s="37">
        <f>INDEX(Cooper_pop_2030_2050!D:D, MATCH(About!$B$1, Cooper_pop_2030_2050!B:B, 0))</f>
        <v>656319.14480112377</v>
      </c>
      <c r="I13" s="37">
        <f>INDEX(Cooper_pop_2030_2050!D:D, MATCH(About!$B$1, Cooper_pop_2030_2050!B:B, 0))+0.1*(INDEX(Cooper_pop_2030_2050!E:E, MATCH(About!$B$1, Cooper_pop_2030_2050!B:B, 0))-INDEX(Cooper_pop_2030_2050!D:D, MATCH(About!$B$1, Cooper_pop_2030_2050!B:B, 0)))</f>
        <v>655537.16800940968</v>
      </c>
      <c r="J13" s="37">
        <f>INDEX(Cooper_pop_2030_2050!D:D, MATCH(About!$B$1, Cooper_pop_2030_2050!B:B, 0))+0.2*(INDEX(Cooper_pop_2030_2050!E:E, MATCH(About!$B$1, Cooper_pop_2030_2050!B:B, 0))-INDEX(Cooper_pop_2030_2050!D:D, MATCH(About!$B$1, Cooper_pop_2030_2050!B:B, 0)))</f>
        <v>654755.19121769548</v>
      </c>
      <c r="K13" s="37">
        <f>INDEX(Cooper_pop_2030_2050!D:D, MATCH(About!$B$1, Cooper_pop_2030_2050!B:B, 0))+0.3*(INDEX(Cooper_pop_2030_2050!E:E, MATCH(About!$B$1, Cooper_pop_2030_2050!B:B, 0))-INDEX(Cooper_pop_2030_2050!D:D, MATCH(About!$B$1, Cooper_pop_2030_2050!B:B, 0)))</f>
        <v>653973.21442598139</v>
      </c>
      <c r="L13" s="37">
        <f>INDEX(Cooper_pop_2030_2050!D:D, MATCH(About!$B$1, Cooper_pop_2030_2050!B:B, 0))+0.4*(INDEX(Cooper_pop_2030_2050!E:E, MATCH(About!$B$1, Cooper_pop_2030_2050!B:B, 0))-INDEX(Cooper_pop_2030_2050!D:D, MATCH(About!$B$1, Cooper_pop_2030_2050!B:B, 0)))</f>
        <v>653191.23763426719</v>
      </c>
      <c r="M13" s="37">
        <f>INDEX(Cooper_pop_2030_2050!D:D, MATCH(About!$B$1, Cooper_pop_2030_2050!B:B, 0))+0.5*(INDEX(Cooper_pop_2030_2050!E:E, MATCH(About!$B$1, Cooper_pop_2030_2050!B:B, 0))-INDEX(Cooper_pop_2030_2050!D:D, MATCH(About!$B$1, Cooper_pop_2030_2050!B:B, 0)))</f>
        <v>652409.26084255311</v>
      </c>
      <c r="N13" s="37">
        <f>INDEX(Cooper_pop_2030_2050!D:D, MATCH(About!$B$1, Cooper_pop_2030_2050!B:B, 0))+0.6*(INDEX(Cooper_pop_2030_2050!E:E, MATCH(About!$B$1, Cooper_pop_2030_2050!B:B, 0))-INDEX(Cooper_pop_2030_2050!D:D, MATCH(About!$B$1, Cooper_pop_2030_2050!B:B, 0)))</f>
        <v>651627.28405083902</v>
      </c>
      <c r="O13" s="37">
        <f>INDEX(Cooper_pop_2030_2050!D:D, MATCH(About!$B$1, Cooper_pop_2030_2050!B:B, 0))+0.7*(INDEX(Cooper_pop_2030_2050!E:E, MATCH(About!$B$1, Cooper_pop_2030_2050!B:B, 0))-INDEX(Cooper_pop_2030_2050!D:D, MATCH(About!$B$1, Cooper_pop_2030_2050!B:B, 0)))</f>
        <v>650845.30725912482</v>
      </c>
      <c r="P13" s="37">
        <f>INDEX(Cooper_pop_2030_2050!D:D, MATCH(About!$B$1, Cooper_pop_2030_2050!B:B, 0))+0.8*(INDEX(Cooper_pop_2030_2050!E:E, MATCH(About!$B$1, Cooper_pop_2030_2050!B:B, 0))-INDEX(Cooper_pop_2030_2050!D:D, MATCH(About!$B$1, Cooper_pop_2030_2050!B:B, 0)))</f>
        <v>650063.33046741073</v>
      </c>
      <c r="Q13" s="37">
        <f>INDEX(Cooper_pop_2030_2050!D:D, MATCH(About!$B$1, Cooper_pop_2030_2050!B:B, 0))+0.9*(INDEX(Cooper_pop_2030_2050!E:E, MATCH(About!$B$1, Cooper_pop_2030_2050!B:B, 0))-INDEX(Cooper_pop_2030_2050!D:D, MATCH(About!$B$1, Cooper_pop_2030_2050!B:B, 0)))</f>
        <v>649281.35367569653</v>
      </c>
      <c r="R13" s="37">
        <f>INDEX(Cooper_pop_2030_2050!E:E, MATCH(About!$B$1, Cooper_pop_2030_2050!B:B, 0))</f>
        <v>648499.37688398245</v>
      </c>
      <c r="S13" s="37">
        <f>INDEX(Cooper_pop_2030_2050!E:E, MATCH(About!$B$1, Cooper_pop_2030_2050!B:B, 0))+0.1*(INDEX(Cooper_pop_2030_2050!F:F, MATCH(About!$B$1, Cooper_pop_2030_2050!B:B, 0))-INDEX(Cooper_pop_2030_2050!E:E, MATCH(About!$B$1, Cooper_pop_2030_2050!B:B, 0)))</f>
        <v>646975.86606679542</v>
      </c>
      <c r="T13" s="37">
        <f>INDEX(Cooper_pop_2030_2050!E:E, MATCH(About!$B$1, Cooper_pop_2030_2050!B:B, 0))+0.2*(INDEX(Cooper_pop_2030_2050!F:F, MATCH(About!$B$1, Cooper_pop_2030_2050!B:B, 0))-INDEX(Cooper_pop_2030_2050!E:E, MATCH(About!$B$1, Cooper_pop_2030_2050!B:B, 0)))</f>
        <v>645452.35524960852</v>
      </c>
      <c r="U13" s="37">
        <f>INDEX(Cooper_pop_2030_2050!E:E, MATCH(About!$B$1, Cooper_pop_2030_2050!B:B, 0))+0.3*(INDEX(Cooper_pop_2030_2050!F:F, MATCH(About!$B$1, Cooper_pop_2030_2050!B:B, 0))-INDEX(Cooper_pop_2030_2050!E:E, MATCH(About!$B$1, Cooper_pop_2030_2050!B:B, 0)))</f>
        <v>643928.84443242149</v>
      </c>
      <c r="V13" s="37">
        <f>INDEX(Cooper_pop_2030_2050!E:E, MATCH(About!$B$1, Cooper_pop_2030_2050!B:B, 0))+0.4*(INDEX(Cooper_pop_2030_2050!F:F, MATCH(About!$B$1, Cooper_pop_2030_2050!B:B, 0))-INDEX(Cooper_pop_2030_2050!E:E, MATCH(About!$B$1, Cooper_pop_2030_2050!B:B, 0)))</f>
        <v>642405.33361523447</v>
      </c>
      <c r="W13" s="37">
        <f>INDEX(Cooper_pop_2030_2050!E:E, MATCH(About!$B$1, Cooper_pop_2030_2050!B:B, 0))+0.5*(INDEX(Cooper_pop_2030_2050!F:F, MATCH(About!$B$1, Cooper_pop_2030_2050!B:B, 0))-INDEX(Cooper_pop_2030_2050!E:E, MATCH(About!$B$1, Cooper_pop_2030_2050!B:B, 0)))</f>
        <v>640881.82279804745</v>
      </c>
      <c r="X13" s="37">
        <f>INDEX(Cooper_pop_2030_2050!E:E, MATCH(About!$B$1, Cooper_pop_2030_2050!B:B, 0))+0.6*(INDEX(Cooper_pop_2030_2050!F:F, MATCH(About!$B$1, Cooper_pop_2030_2050!B:B, 0))-INDEX(Cooper_pop_2030_2050!E:E, MATCH(About!$B$1, Cooper_pop_2030_2050!B:B, 0)))</f>
        <v>639358.31198086054</v>
      </c>
      <c r="Y13" s="37">
        <f>INDEX(Cooper_pop_2030_2050!E:E, MATCH(About!$B$1, Cooper_pop_2030_2050!B:B, 0))+0.7*(INDEX(Cooper_pop_2030_2050!F:F, MATCH(About!$B$1, Cooper_pop_2030_2050!B:B, 0))-INDEX(Cooper_pop_2030_2050!E:E, MATCH(About!$B$1, Cooper_pop_2030_2050!B:B, 0)))</f>
        <v>637834.80116367352</v>
      </c>
      <c r="Z13" s="37">
        <f>INDEX(Cooper_pop_2030_2050!E:E, MATCH(About!$B$1, Cooper_pop_2030_2050!B:B, 0))+0.8*(INDEX(Cooper_pop_2030_2050!F:F, MATCH(About!$B$1, Cooper_pop_2030_2050!B:B, 0))-INDEX(Cooper_pop_2030_2050!E:E, MATCH(About!$B$1, Cooper_pop_2030_2050!B:B, 0)))</f>
        <v>636311.29034648649</v>
      </c>
      <c r="AA13" s="37">
        <f>INDEX(Cooper_pop_2030_2050!E:E, MATCH(About!$B$1, Cooper_pop_2030_2050!B:B, 0))+0.9*(INDEX(Cooper_pop_2030_2050!F:F, MATCH(About!$B$1, Cooper_pop_2030_2050!B:B, 0))-INDEX(Cooper_pop_2030_2050!E:E, MATCH(About!$B$1, Cooper_pop_2030_2050!B:B, 0)))</f>
        <v>634787.77952929959</v>
      </c>
      <c r="AB13" s="37">
        <f>INDEX(Cooper_pop_2030_2050!F:F, MATCH(About!$B$1, Cooper_pop_2030_2050!B:B, 0))</f>
        <v>633264.26871211256</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1.9214123703577659E-3</v>
      </c>
      <c r="C15" s="39">
        <f t="shared" si="1"/>
        <v>1.9071952393863989E-3</v>
      </c>
      <c r="D15" s="39">
        <f t="shared" si="1"/>
        <v>1.9056535190281857E-3</v>
      </c>
      <c r="E15" s="39">
        <f t="shared" si="1"/>
        <v>1.904344996232312E-3</v>
      </c>
      <c r="F15" s="39">
        <f t="shared" si="1"/>
        <v>1.9032875602430018E-3</v>
      </c>
      <c r="G15" s="39">
        <f t="shared" si="1"/>
        <v>1.9024893192840424E-3</v>
      </c>
      <c r="H15" s="39">
        <f t="shared" si="1"/>
        <v>1.9019687723721283E-3</v>
      </c>
      <c r="I15" s="39">
        <f t="shared" si="1"/>
        <v>1.8927601809808365E-3</v>
      </c>
      <c r="J15" s="39">
        <f t="shared" si="1"/>
        <v>1.8839431054720141E-3</v>
      </c>
      <c r="K15" s="39">
        <f t="shared" si="1"/>
        <v>1.8754511502968084E-3</v>
      </c>
      <c r="L15" s="39">
        <f t="shared" si="1"/>
        <v>1.86728690249092E-3</v>
      </c>
      <c r="M15" s="39">
        <f t="shared" si="1"/>
        <v>1.8594517619473384E-3</v>
      </c>
      <c r="N15" s="39">
        <f t="shared" si="1"/>
        <v>1.8519454777874949E-3</v>
      </c>
      <c r="O15" s="39">
        <f t="shared" si="1"/>
        <v>1.8447680043849272E-3</v>
      </c>
      <c r="P15" s="39">
        <f t="shared" si="1"/>
        <v>1.8379171085575979E-3</v>
      </c>
      <c r="Q15" s="39">
        <f t="shared" si="1"/>
        <v>1.8313869711719215E-3</v>
      </c>
      <c r="R15" s="39">
        <f t="shared" si="1"/>
        <v>1.8251698204195604E-3</v>
      </c>
      <c r="S15" s="39">
        <f t="shared" si="1"/>
        <v>1.8171767205282549E-3</v>
      </c>
      <c r="T15" s="39">
        <f t="shared" si="1"/>
        <v>1.8094828166820853E-3</v>
      </c>
      <c r="U15" s="39">
        <f t="shared" si="1"/>
        <v>1.8020695536188815E-3</v>
      </c>
      <c r="V15" s="39">
        <f t="shared" si="1"/>
        <v>1.7949126618654935E-3</v>
      </c>
      <c r="W15" s="39">
        <f t="shared" si="1"/>
        <v>1.7879852891536339E-3</v>
      </c>
      <c r="X15" s="39">
        <f t="shared" si="1"/>
        <v>1.7812602314033557E-3</v>
      </c>
      <c r="Y15" s="39">
        <f t="shared" si="1"/>
        <v>1.774719600388991E-3</v>
      </c>
      <c r="Z15" s="39">
        <f t="shared" si="1"/>
        <v>1.7683381024761746E-3</v>
      </c>
      <c r="AA15" s="39">
        <f t="shared" si="1"/>
        <v>1.7620904075633674E-3</v>
      </c>
      <c r="AB15" s="39">
        <f t="shared" si="1"/>
        <v>1.7559518959272759E-3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18.099421227276626</v>
      </c>
      <c r="C48" s="37">
        <f t="shared" si="10"/>
        <v>17.82995971212236</v>
      </c>
      <c r="D48" s="37">
        <f t="shared" si="10"/>
        <v>17.678210380158038</v>
      </c>
      <c r="E48" s="37">
        <f t="shared" si="10"/>
        <v>17.528829766774514</v>
      </c>
      <c r="F48" s="37">
        <f t="shared" si="10"/>
        <v>17.378120673101705</v>
      </c>
      <c r="G48" s="37">
        <f t="shared" si="10"/>
        <v>17.226107072006002</v>
      </c>
      <c r="H48" s="37">
        <f t="shared" si="10"/>
        <v>17.072900660618291</v>
      </c>
      <c r="I48" s="37">
        <f t="shared" si="10"/>
        <v>16.84814978386639</v>
      </c>
      <c r="J48" s="37">
        <f t="shared" si="10"/>
        <v>16.61503712292863</v>
      </c>
      <c r="K48" s="37">
        <f t="shared" si="10"/>
        <v>16.388089682846129</v>
      </c>
      <c r="L48" s="37">
        <f t="shared" si="10"/>
        <v>16.15414198044261</v>
      </c>
      <c r="M48" s="37">
        <f t="shared" si="10"/>
        <v>15.92629588480191</v>
      </c>
      <c r="N48" s="37">
        <f t="shared" si="10"/>
        <v>15.706294438934046</v>
      </c>
      <c r="O48" s="37">
        <f t="shared" si="10"/>
        <v>15.468158183528262</v>
      </c>
      <c r="P48" s="37">
        <f t="shared" si="10"/>
        <v>15.239627170022132</v>
      </c>
      <c r="Q48" s="37">
        <f t="shared" si="10"/>
        <v>15.00400276750849</v>
      </c>
      <c r="R48" s="37">
        <f t="shared" si="10"/>
        <v>14.77037885230464</v>
      </c>
      <c r="S48" s="37">
        <f t="shared" si="10"/>
        <v>14.518348585359302</v>
      </c>
      <c r="T48" s="37">
        <f t="shared" si="10"/>
        <v>14.270326028983209</v>
      </c>
      <c r="U48" s="37">
        <f t="shared" si="10"/>
        <v>14.026074223190371</v>
      </c>
      <c r="V48" s="37">
        <f t="shared" si="10"/>
        <v>13.785319973569694</v>
      </c>
      <c r="W48" s="37">
        <f t="shared" si="10"/>
        <v>13.549570191164175</v>
      </c>
      <c r="X48" s="37">
        <f t="shared" si="10"/>
        <v>13.331010920329103</v>
      </c>
      <c r="Y48" s="37">
        <f t="shared" si="10"/>
        <v>13.115080053054101</v>
      </c>
      <c r="Z48" s="37">
        <f t="shared" si="10"/>
        <v>12.910391000892471</v>
      </c>
      <c r="AA48" s="37">
        <f t="shared" si="10"/>
        <v>12.709567629257478</v>
      </c>
      <c r="AB48" s="37">
        <f t="shared" si="10"/>
        <v>12.510622783885545</v>
      </c>
    </row>
    <row r="49" spans="1:28" x14ac:dyDescent="0.25">
      <c r="A49" s="4" t="s">
        <v>216</v>
      </c>
      <c r="B49" s="37">
        <f t="shared" ref="B49:AB49" si="11">B29*B15*$F$5</f>
        <v>14.404943919578756</v>
      </c>
      <c r="C49" s="37">
        <f t="shared" si="11"/>
        <v>14.22023454750992</v>
      </c>
      <c r="D49" s="37">
        <f t="shared" si="11"/>
        <v>14.130679794105317</v>
      </c>
      <c r="E49" s="37">
        <f t="shared" si="11"/>
        <v>14.041068400412813</v>
      </c>
      <c r="F49" s="37">
        <f t="shared" si="11"/>
        <v>13.949604537313009</v>
      </c>
      <c r="G49" s="37">
        <f t="shared" si="11"/>
        <v>13.860121944699985</v>
      </c>
      <c r="H49" s="37">
        <f t="shared" si="11"/>
        <v>13.770820187574422</v>
      </c>
      <c r="I49" s="37">
        <f t="shared" si="11"/>
        <v>13.609596759572343</v>
      </c>
      <c r="J49" s="37">
        <f t="shared" si="11"/>
        <v>13.457735517559088</v>
      </c>
      <c r="K49" s="37">
        <f t="shared" si="11"/>
        <v>13.297767208100039</v>
      </c>
      <c r="L49" s="37">
        <f t="shared" si="11"/>
        <v>13.144735569199828</v>
      </c>
      <c r="M49" s="37">
        <f t="shared" si="11"/>
        <v>12.983689497181809</v>
      </c>
      <c r="N49" s="37">
        <f t="shared" si="11"/>
        <v>12.81656216560796</v>
      </c>
      <c r="O49" s="37">
        <f t="shared" si="11"/>
        <v>12.661835260194325</v>
      </c>
      <c r="P49" s="37">
        <f t="shared" si="11"/>
        <v>12.491786571899038</v>
      </c>
      <c r="Q49" s="37">
        <f t="shared" si="11"/>
        <v>12.328473071755923</v>
      </c>
      <c r="R49" s="37">
        <f t="shared" si="11"/>
        <v>12.158976923388471</v>
      </c>
      <c r="S49" s="37">
        <f t="shared" si="11"/>
        <v>11.978643495664995</v>
      </c>
      <c r="T49" s="37">
        <f t="shared" si="11"/>
        <v>11.79776379375595</v>
      </c>
      <c r="U49" s="37">
        <f t="shared" si="11"/>
        <v>11.619800569860484</v>
      </c>
      <c r="V49" s="37">
        <f t="shared" si="11"/>
        <v>11.448125022432027</v>
      </c>
      <c r="W49" s="37">
        <f t="shared" si="11"/>
        <v>11.280684687873663</v>
      </c>
      <c r="X49" s="37">
        <f t="shared" si="11"/>
        <v>11.113682324342919</v>
      </c>
      <c r="Y49" s="37">
        <f t="shared" si="11"/>
        <v>10.955850693140979</v>
      </c>
      <c r="Z49" s="37">
        <f t="shared" si="11"/>
        <v>10.798086805071106</v>
      </c>
      <c r="AA49" s="37">
        <f t="shared" si="11"/>
        <v>10.647266720272434</v>
      </c>
      <c r="AB49" s="37">
        <f t="shared" si="11"/>
        <v>10.508424316910219</v>
      </c>
    </row>
    <row r="50" spans="1:28" x14ac:dyDescent="0.25">
      <c r="A50" s="4" t="s">
        <v>217</v>
      </c>
      <c r="B50" s="37">
        <f t="shared" ref="B50:AB50" si="12">B30*B15*$F$6</f>
        <v>23.500705252441843</v>
      </c>
      <c r="C50" s="37">
        <f t="shared" si="12"/>
        <v>23.173007801133583</v>
      </c>
      <c r="D50" s="37">
        <f t="shared" si="12"/>
        <v>23.002955745264693</v>
      </c>
      <c r="E50" s="37">
        <f t="shared" si="12"/>
        <v>22.831219426625715</v>
      </c>
      <c r="F50" s="37">
        <f t="shared" si="12"/>
        <v>22.660325698259708</v>
      </c>
      <c r="G50" s="37">
        <f t="shared" si="12"/>
        <v>22.492672174857972</v>
      </c>
      <c r="H50" s="37">
        <f t="shared" si="12"/>
        <v>22.318972195961567</v>
      </c>
      <c r="I50" s="37">
        <f t="shared" si="12"/>
        <v>22.046526318293576</v>
      </c>
      <c r="J50" s="37">
        <f t="shared" si="12"/>
        <v>21.768519106566693</v>
      </c>
      <c r="K50" s="37">
        <f t="shared" si="12"/>
        <v>21.486571659771151</v>
      </c>
      <c r="L50" s="37">
        <f t="shared" si="12"/>
        <v>21.198427414148529</v>
      </c>
      <c r="M50" s="37">
        <f t="shared" si="12"/>
        <v>20.904151588907425</v>
      </c>
      <c r="N50" s="37">
        <f t="shared" si="12"/>
        <v>20.603778186844071</v>
      </c>
      <c r="O50" s="37">
        <f t="shared" si="12"/>
        <v>20.290464856929859</v>
      </c>
      <c r="P50" s="37">
        <f t="shared" si="12"/>
        <v>19.973397544212038</v>
      </c>
      <c r="Q50" s="37">
        <f t="shared" si="12"/>
        <v>19.650214727295797</v>
      </c>
      <c r="R50" s="37">
        <f t="shared" si="12"/>
        <v>19.320823142283878</v>
      </c>
      <c r="S50" s="37">
        <f t="shared" si="12"/>
        <v>18.967913164416384</v>
      </c>
      <c r="T50" s="37">
        <f t="shared" si="12"/>
        <v>18.620442337666738</v>
      </c>
      <c r="U50" s="37">
        <f t="shared" si="12"/>
        <v>18.278089934801919</v>
      </c>
      <c r="V50" s="37">
        <f t="shared" si="12"/>
        <v>17.942716044664571</v>
      </c>
      <c r="W50" s="37">
        <f t="shared" si="12"/>
        <v>17.618353652871992</v>
      </c>
      <c r="X50" s="37">
        <f t="shared" si="12"/>
        <v>17.306772912464421</v>
      </c>
      <c r="Y50" s="37">
        <f t="shared" si="12"/>
        <v>17.003214844282294</v>
      </c>
      <c r="Z50" s="37">
        <f t="shared" si="12"/>
        <v>16.70951095946911</v>
      </c>
      <c r="AA50" s="37">
        <f t="shared" si="12"/>
        <v>16.429663598646595</v>
      </c>
      <c r="AB50" s="37">
        <f t="shared" si="12"/>
        <v>16.158922299135057</v>
      </c>
    </row>
    <row r="51" spans="1:28" x14ac:dyDescent="0.25">
      <c r="A51" s="4" t="s">
        <v>218</v>
      </c>
      <c r="B51" s="37">
        <f t="shared" ref="B51:AB51" si="13">B31*B15*$F$7</f>
        <v>1.1441472705212263</v>
      </c>
      <c r="C51" s="37">
        <f t="shared" si="13"/>
        <v>1.1203868125439658</v>
      </c>
      <c r="D51" s="37">
        <f t="shared" si="13"/>
        <v>1.1044415084900465</v>
      </c>
      <c r="E51" s="37">
        <f t="shared" si="13"/>
        <v>1.0881690351610427</v>
      </c>
      <c r="F51" s="37">
        <f t="shared" si="13"/>
        <v>1.0715747644491411</v>
      </c>
      <c r="G51" s="37">
        <f t="shared" si="13"/>
        <v>1.0551420138372056</v>
      </c>
      <c r="H51" s="37">
        <f t="shared" si="13"/>
        <v>1.0381480387105022</v>
      </c>
      <c r="I51" s="37">
        <f t="shared" si="13"/>
        <v>1.0167382703066854</v>
      </c>
      <c r="J51" s="37">
        <f t="shared" si="13"/>
        <v>0.99569484095933336</v>
      </c>
      <c r="K51" s="37">
        <f t="shared" si="13"/>
        <v>0.97497306752612345</v>
      </c>
      <c r="L51" s="37">
        <f t="shared" si="13"/>
        <v>0.95504121131651798</v>
      </c>
      <c r="M51" s="37">
        <f t="shared" si="13"/>
        <v>0.93612217532077557</v>
      </c>
      <c r="N51" s="37">
        <f t="shared" si="13"/>
        <v>0.91749172770924237</v>
      </c>
      <c r="O51" s="37">
        <f t="shared" si="13"/>
        <v>0.89984640721148546</v>
      </c>
      <c r="P51" s="37">
        <f t="shared" si="13"/>
        <v>0.88246752764694181</v>
      </c>
      <c r="Q51" s="37">
        <f t="shared" si="13"/>
        <v>0.8658110985411609</v>
      </c>
      <c r="R51" s="37">
        <f t="shared" si="13"/>
        <v>0.84962907972471469</v>
      </c>
      <c r="S51" s="37">
        <f t="shared" si="13"/>
        <v>0.8327234489179246</v>
      </c>
      <c r="T51" s="37">
        <f t="shared" si="13"/>
        <v>0.81629907707997729</v>
      </c>
      <c r="U51" s="37">
        <f t="shared" si="13"/>
        <v>0.80010899792492296</v>
      </c>
      <c r="V51" s="37">
        <f t="shared" si="13"/>
        <v>0.78459356348696085</v>
      </c>
      <c r="W51" s="37">
        <f t="shared" si="13"/>
        <v>0.76904767232115834</v>
      </c>
      <c r="X51" s="37">
        <f t="shared" si="13"/>
        <v>0.75413786266661875</v>
      </c>
      <c r="Y51" s="37">
        <f t="shared" si="13"/>
        <v>0.74007335385761464</v>
      </c>
      <c r="Z51" s="37">
        <f t="shared" si="13"/>
        <v>0.72615744910744429</v>
      </c>
      <c r="AA51" s="37">
        <f t="shared" si="13"/>
        <v>0.71282546956564719</v>
      </c>
      <c r="AB51" s="37">
        <f t="shared" si="13"/>
        <v>0.69961333829428463</v>
      </c>
    </row>
    <row r="52" spans="1:28" x14ac:dyDescent="0.25">
      <c r="A52" s="4" t="s">
        <v>219</v>
      </c>
      <c r="B52" s="37">
        <f t="shared" ref="B52:AB52" si="14">B32*B15*$F$8</f>
        <v>0.59597587998299129</v>
      </c>
      <c r="C52" s="37">
        <f t="shared" si="14"/>
        <v>0.59362727389205472</v>
      </c>
      <c r="D52" s="37">
        <f t="shared" si="14"/>
        <v>0.59520694271344754</v>
      </c>
      <c r="E52" s="37">
        <f t="shared" si="14"/>
        <v>0.59754240925918078</v>
      </c>
      <c r="F52" s="37">
        <f t="shared" si="14"/>
        <v>0.59995325207817352</v>
      </c>
      <c r="G52" s="37">
        <f t="shared" si="14"/>
        <v>0.60244312417488444</v>
      </c>
      <c r="H52" s="37">
        <f t="shared" si="14"/>
        <v>0.60501903061600215</v>
      </c>
      <c r="I52" s="37">
        <f t="shared" si="14"/>
        <v>0.60481723776263452</v>
      </c>
      <c r="J52" s="37">
        <f t="shared" si="14"/>
        <v>0.60471457581267118</v>
      </c>
      <c r="K52" s="37">
        <f t="shared" si="14"/>
        <v>0.60604259528516657</v>
      </c>
      <c r="L52" s="37">
        <f t="shared" si="14"/>
        <v>0.60609512609374927</v>
      </c>
      <c r="M52" s="37">
        <f t="shared" si="14"/>
        <v>0.60623142533193841</v>
      </c>
      <c r="N52" s="37">
        <f t="shared" si="14"/>
        <v>0.60645283357887769</v>
      </c>
      <c r="O52" s="37">
        <f t="shared" si="14"/>
        <v>0.60676075747690394</v>
      </c>
      <c r="P52" s="37">
        <f t="shared" si="14"/>
        <v>0.60649376964419</v>
      </c>
      <c r="Q52" s="37">
        <f t="shared" si="14"/>
        <v>0.60697792583431676</v>
      </c>
      <c r="R52" s="37">
        <f t="shared" si="14"/>
        <v>0.60623240876779638</v>
      </c>
      <c r="S52" s="37">
        <f t="shared" si="14"/>
        <v>0.60554140885531571</v>
      </c>
      <c r="T52" s="37">
        <f t="shared" si="14"/>
        <v>0.60558502449454632</v>
      </c>
      <c r="U52" s="37">
        <f t="shared" si="14"/>
        <v>0.60440239956403696</v>
      </c>
      <c r="V52" s="37">
        <f t="shared" si="14"/>
        <v>0.60394188079855737</v>
      </c>
      <c r="W52" s="37">
        <f t="shared" si="14"/>
        <v>0.60354336767656624</v>
      </c>
      <c r="X52" s="37">
        <f t="shared" si="14"/>
        <v>0.60255669166673009</v>
      </c>
      <c r="Y52" s="37">
        <f t="shared" si="14"/>
        <v>0.6029015330520805</v>
      </c>
      <c r="Z52" s="37">
        <f t="shared" si="14"/>
        <v>0.60200772332919816</v>
      </c>
      <c r="AA52" s="37">
        <f t="shared" si="14"/>
        <v>0.60115036574503944</v>
      </c>
      <c r="AB52" s="37">
        <f t="shared" si="14"/>
        <v>0.60032133257352405</v>
      </c>
    </row>
    <row r="53" spans="1:28" x14ac:dyDescent="0.25">
      <c r="A53" s="4" t="s">
        <v>220</v>
      </c>
      <c r="B53" s="37">
        <f t="shared" ref="B53:AB53" si="15">B33*B15*$F$9</f>
        <v>1.6625286303400186</v>
      </c>
      <c r="C53" s="37">
        <f t="shared" si="15"/>
        <v>1.6643594404276114</v>
      </c>
      <c r="D53" s="37">
        <f t="shared" si="15"/>
        <v>1.6738762945279253</v>
      </c>
      <c r="E53" s="37">
        <f t="shared" si="15"/>
        <v>1.6857526997304335</v>
      </c>
      <c r="F53" s="37">
        <f t="shared" si="15"/>
        <v>1.696750308525665</v>
      </c>
      <c r="G53" s="37">
        <f t="shared" si="15"/>
        <v>1.7057985029548226</v>
      </c>
      <c r="H53" s="37">
        <f t="shared" si="15"/>
        <v>1.7194254243403302</v>
      </c>
      <c r="I53" s="37">
        <f t="shared" si="15"/>
        <v>1.7208105394134021</v>
      </c>
      <c r="J53" s="37">
        <f t="shared" si="15"/>
        <v>1.7235329829725072</v>
      </c>
      <c r="K53" s="37">
        <f t="shared" si="15"/>
        <v>1.7232471666043729</v>
      </c>
      <c r="L53" s="37">
        <f t="shared" si="15"/>
        <v>1.7242603619128605</v>
      </c>
      <c r="M53" s="37">
        <f t="shared" si="15"/>
        <v>1.7223248220846308</v>
      </c>
      <c r="N53" s="37">
        <f t="shared" si="15"/>
        <v>1.7227613907713597</v>
      </c>
      <c r="O53" s="37">
        <f t="shared" si="15"/>
        <v>1.7213422004407488</v>
      </c>
      <c r="P53" s="37">
        <f t="shared" si="15"/>
        <v>1.7180925219171577</v>
      </c>
      <c r="Q53" s="37">
        <f t="shared" si="15"/>
        <v>1.7130320176513723</v>
      </c>
      <c r="R53" s="37">
        <f t="shared" si="15"/>
        <v>1.7082570070029048</v>
      </c>
      <c r="S53" s="37">
        <f t="shared" si="15"/>
        <v>1.7007759119594541</v>
      </c>
      <c r="T53" s="37">
        <f t="shared" si="15"/>
        <v>1.6894492086095836</v>
      </c>
      <c r="U53" s="37">
        <f t="shared" si="15"/>
        <v>1.6804733423758604</v>
      </c>
      <c r="V53" s="37">
        <f t="shared" si="15"/>
        <v>1.6697069491283059</v>
      </c>
      <c r="W53" s="37">
        <f t="shared" si="15"/>
        <v>1.6591861768846941</v>
      </c>
      <c r="X53" s="37">
        <f t="shared" si="15"/>
        <v>1.6509149190004055</v>
      </c>
      <c r="Y53" s="37">
        <f t="shared" si="15"/>
        <v>1.6397949312559843</v>
      </c>
      <c r="Z53" s="37">
        <f t="shared" si="15"/>
        <v>1.6318826781520241</v>
      </c>
      <c r="AA53" s="37">
        <f t="shared" si="15"/>
        <v>1.6210951124196853</v>
      </c>
      <c r="AB53" s="37">
        <f t="shared" si="15"/>
        <v>1.613445985448019</v>
      </c>
    </row>
    <row r="54" spans="1:28" x14ac:dyDescent="0.25">
      <c r="A54" s="4" t="s">
        <v>221</v>
      </c>
      <c r="B54" s="37">
        <f t="shared" ref="B54:AB54" si="16">B34*B15*$F$10</f>
        <v>1.0148181193804882</v>
      </c>
      <c r="C54" s="37">
        <f t="shared" si="16"/>
        <v>1.0115051915680733</v>
      </c>
      <c r="D54" s="37">
        <f t="shared" si="16"/>
        <v>1.0154042370725507</v>
      </c>
      <c r="E54" s="37">
        <f t="shared" si="16"/>
        <v>1.0196823442399956</v>
      </c>
      <c r="F54" s="37">
        <f t="shared" si="16"/>
        <v>1.0248738579897236</v>
      </c>
      <c r="G54" s="37">
        <f t="shared" si="16"/>
        <v>1.0291529094224074</v>
      </c>
      <c r="H54" s="37">
        <f t="shared" si="16"/>
        <v>1.0333173823599842</v>
      </c>
      <c r="I54" s="37">
        <f t="shared" si="16"/>
        <v>1.0324787325500184</v>
      </c>
      <c r="J54" s="37">
        <f t="shared" si="16"/>
        <v>1.0312958828048819</v>
      </c>
      <c r="K54" s="37">
        <f t="shared" si="16"/>
        <v>1.0297419132915169</v>
      </c>
      <c r="L54" s="37">
        <f t="shared" si="16"/>
        <v>1.0275700994893617</v>
      </c>
      <c r="M54" s="37">
        <f t="shared" si="16"/>
        <v>1.0247925333239556</v>
      </c>
      <c r="N54" s="37">
        <f t="shared" si="16"/>
        <v>1.0214195874521257</v>
      </c>
      <c r="O54" s="37">
        <f t="shared" si="16"/>
        <v>1.0174609331560187</v>
      </c>
      <c r="P54" s="37">
        <f t="shared" si="16"/>
        <v>1.0121660454026964</v>
      </c>
      <c r="Q54" s="37">
        <f t="shared" si="16"/>
        <v>1.0063033605758667</v>
      </c>
      <c r="R54" s="37">
        <f t="shared" si="16"/>
        <v>0.99912259332630893</v>
      </c>
      <c r="S54" s="37">
        <f t="shared" si="16"/>
        <v>0.99099895758266088</v>
      </c>
      <c r="T54" s="37">
        <f t="shared" si="16"/>
        <v>0.98207558183877186</v>
      </c>
      <c r="U54" s="37">
        <f t="shared" si="16"/>
        <v>0.97235280461135665</v>
      </c>
      <c r="V54" s="37">
        <f t="shared" si="16"/>
        <v>0.9628144393964716</v>
      </c>
      <c r="W54" s="37">
        <f t="shared" si="16"/>
        <v>0.95221443650946513</v>
      </c>
      <c r="X54" s="37">
        <f t="shared" si="16"/>
        <v>0.94299941796547559</v>
      </c>
      <c r="Y54" s="37">
        <f t="shared" si="16"/>
        <v>0.93367995416037786</v>
      </c>
      <c r="Z54" s="37">
        <f t="shared" si="16"/>
        <v>0.92448685532819941</v>
      </c>
      <c r="AA54" s="37">
        <f t="shared" si="16"/>
        <v>0.91564768593479562</v>
      </c>
      <c r="AB54" s="37">
        <f t="shared" si="16"/>
        <v>0.90738733517440551</v>
      </c>
    </row>
    <row r="55" spans="1:28" x14ac:dyDescent="0.25">
      <c r="A55" s="4" t="s">
        <v>222</v>
      </c>
      <c r="B55" s="37">
        <f t="shared" ref="B55:AB55" si="17">B35*B15*$F$11</f>
        <v>30.373576206430801</v>
      </c>
      <c r="C55" s="37">
        <f t="shared" si="17"/>
        <v>29.85366277133641</v>
      </c>
      <c r="D55" s="37">
        <f t="shared" si="17"/>
        <v>29.527686260214043</v>
      </c>
      <c r="E55" s="37">
        <f t="shared" si="17"/>
        <v>29.201169419038788</v>
      </c>
      <c r="F55" s="37">
        <f t="shared" si="17"/>
        <v>28.862774182872755</v>
      </c>
      <c r="G55" s="37">
        <f t="shared" si="17"/>
        <v>28.533224330224289</v>
      </c>
      <c r="H55" s="37">
        <f t="shared" si="17"/>
        <v>28.20345994725707</v>
      </c>
      <c r="I55" s="37">
        <f t="shared" si="17"/>
        <v>27.744222713780228</v>
      </c>
      <c r="J55" s="37">
        <f t="shared" si="17"/>
        <v>27.289241654388459</v>
      </c>
      <c r="K55" s="37">
        <f t="shared" si="17"/>
        <v>26.835159908449064</v>
      </c>
      <c r="L55" s="37">
        <f t="shared" si="17"/>
        <v>26.386449776979468</v>
      </c>
      <c r="M55" s="37">
        <f t="shared" si="17"/>
        <v>25.940737378813097</v>
      </c>
      <c r="N55" s="37">
        <f t="shared" si="17"/>
        <v>25.502376649933929</v>
      </c>
      <c r="O55" s="37">
        <f t="shared" si="17"/>
        <v>25.062267100705157</v>
      </c>
      <c r="P55" s="37">
        <f t="shared" si="17"/>
        <v>24.626967220165049</v>
      </c>
      <c r="Q55" s="37">
        <f t="shared" si="17"/>
        <v>24.196242547018457</v>
      </c>
      <c r="R55" s="37">
        <f t="shared" si="17"/>
        <v>23.772042047267675</v>
      </c>
      <c r="S55" s="37">
        <f t="shared" si="17"/>
        <v>23.320782246456179</v>
      </c>
      <c r="T55" s="37">
        <f t="shared" si="17"/>
        <v>22.880734766347032</v>
      </c>
      <c r="U55" s="37">
        <f t="shared" si="17"/>
        <v>22.455801122386106</v>
      </c>
      <c r="V55" s="37">
        <f t="shared" si="17"/>
        <v>22.041080434072676</v>
      </c>
      <c r="W55" s="37">
        <f t="shared" si="17"/>
        <v>21.646865735309934</v>
      </c>
      <c r="X55" s="37">
        <f t="shared" si="17"/>
        <v>21.26176847077328</v>
      </c>
      <c r="Y55" s="37">
        <f t="shared" si="17"/>
        <v>20.891863372703494</v>
      </c>
      <c r="Z55" s="37">
        <f t="shared" si="17"/>
        <v>20.534508965793737</v>
      </c>
      <c r="AA55" s="37">
        <f t="shared" si="17"/>
        <v>20.187115676999323</v>
      </c>
      <c r="AB55" s="37">
        <f t="shared" si="17"/>
        <v>19.851397751676302</v>
      </c>
    </row>
    <row r="57" spans="1:28" x14ac:dyDescent="0.25">
      <c r="A57" s="4" t="s">
        <v>327</v>
      </c>
    </row>
    <row r="58" spans="1:28" x14ac:dyDescent="0.25">
      <c r="A58" s="4" t="s">
        <v>215</v>
      </c>
      <c r="B58" s="37">
        <f t="shared" ref="B58:AB58" si="18">B38*B15*$F$4</f>
        <v>2870.0939406515299</v>
      </c>
      <c r="C58" s="37">
        <f t="shared" si="18"/>
        <v>2900.7492732038418</v>
      </c>
      <c r="D58" s="37">
        <f t="shared" si="18"/>
        <v>2949.8253248269771</v>
      </c>
      <c r="E58" s="37">
        <f t="shared" si="18"/>
        <v>2998.9757666887831</v>
      </c>
      <c r="F58" s="37">
        <f t="shared" si="18"/>
        <v>3048.4599458672647</v>
      </c>
      <c r="G58" s="37">
        <f t="shared" si="18"/>
        <v>3098.3703398471002</v>
      </c>
      <c r="H58" s="37">
        <f t="shared" si="18"/>
        <v>3148.4976046222491</v>
      </c>
      <c r="I58" s="37">
        <f t="shared" si="18"/>
        <v>3183.5443874411153</v>
      </c>
      <c r="J58" s="37">
        <f t="shared" si="18"/>
        <v>3217.8259990219181</v>
      </c>
      <c r="K58" s="37">
        <f t="shared" si="18"/>
        <v>3251.2975006650809</v>
      </c>
      <c r="L58" s="37">
        <f t="shared" si="18"/>
        <v>3283.6961572893551</v>
      </c>
      <c r="M58" s="37">
        <f t="shared" si="18"/>
        <v>3314.981155525174</v>
      </c>
      <c r="N58" s="37">
        <f t="shared" si="18"/>
        <v>3344.8289986081591</v>
      </c>
      <c r="O58" s="37">
        <f t="shared" si="18"/>
        <v>3373.1313024291953</v>
      </c>
      <c r="P58" s="37">
        <f t="shared" si="18"/>
        <v>3399.4744192389203</v>
      </c>
      <c r="Q58" s="37">
        <f t="shared" si="18"/>
        <v>3423.8107774031059</v>
      </c>
      <c r="R58" s="37">
        <f t="shared" si="18"/>
        <v>3445.6434784763915</v>
      </c>
      <c r="S58" s="37">
        <f t="shared" si="18"/>
        <v>3461.0673522489287</v>
      </c>
      <c r="T58" s="37">
        <f t="shared" si="18"/>
        <v>3473.8363866804843</v>
      </c>
      <c r="U58" s="37">
        <f t="shared" si="18"/>
        <v>3484.1608924750044</v>
      </c>
      <c r="V58" s="37">
        <f t="shared" si="18"/>
        <v>3491.2270540127161</v>
      </c>
      <c r="W58" s="37">
        <f t="shared" si="18"/>
        <v>3495.2665265049009</v>
      </c>
      <c r="X58" s="37">
        <f t="shared" si="18"/>
        <v>3496.1106561961333</v>
      </c>
      <c r="Y58" s="37">
        <f t="shared" si="18"/>
        <v>3495.2212376146817</v>
      </c>
      <c r="Z58" s="37">
        <f t="shared" si="18"/>
        <v>3491.335054952619</v>
      </c>
      <c r="AA58" s="37">
        <f t="shared" si="18"/>
        <v>3484.6861827668076</v>
      </c>
      <c r="AB58" s="37">
        <f t="shared" si="18"/>
        <v>3475.6067330468336</v>
      </c>
    </row>
    <row r="59" spans="1:28" x14ac:dyDescent="0.25">
      <c r="A59" s="4" t="s">
        <v>216</v>
      </c>
      <c r="B59" s="37">
        <f t="shared" ref="B59:AB59" si="19">B39*B15*$F$5</f>
        <v>2691.9392520543497</v>
      </c>
      <c r="C59" s="37">
        <f t="shared" si="19"/>
        <v>2713.6449006948105</v>
      </c>
      <c r="D59" s="37">
        <f t="shared" si="19"/>
        <v>2752.8361512121905</v>
      </c>
      <c r="E59" s="37">
        <f t="shared" si="19"/>
        <v>2793.5200254407755</v>
      </c>
      <c r="F59" s="37">
        <f t="shared" si="19"/>
        <v>2836.489311922634</v>
      </c>
      <c r="G59" s="37">
        <f t="shared" si="19"/>
        <v>2881.8979776859283</v>
      </c>
      <c r="H59" s="37">
        <f t="shared" si="19"/>
        <v>2930.017050270354</v>
      </c>
      <c r="I59" s="37">
        <f t="shared" si="19"/>
        <v>2966.491199531883</v>
      </c>
      <c r="J59" s="37">
        <f t="shared" si="19"/>
        <v>3004.880830376027</v>
      </c>
      <c r="K59" s="37">
        <f t="shared" si="19"/>
        <v>3044.401729653443</v>
      </c>
      <c r="L59" s="37">
        <f t="shared" si="19"/>
        <v>3084.9813836604781</v>
      </c>
      <c r="M59" s="37">
        <f t="shared" si="19"/>
        <v>3126.4237583409208</v>
      </c>
      <c r="N59" s="37">
        <f t="shared" si="19"/>
        <v>3168.0573025751264</v>
      </c>
      <c r="O59" s="37">
        <f t="shared" si="19"/>
        <v>3209.251808879364</v>
      </c>
      <c r="P59" s="37">
        <f t="shared" si="19"/>
        <v>3249.8751666823177</v>
      </c>
      <c r="Q59" s="37">
        <f t="shared" si="19"/>
        <v>3289.0437658766614</v>
      </c>
      <c r="R59" s="37">
        <f t="shared" si="19"/>
        <v>3326.5250436422925</v>
      </c>
      <c r="S59" s="37">
        <f t="shared" si="19"/>
        <v>3357.8926320411629</v>
      </c>
      <c r="T59" s="37">
        <f t="shared" si="19"/>
        <v>3386.6885637838504</v>
      </c>
      <c r="U59" s="37">
        <f t="shared" si="19"/>
        <v>3412.6277632722577</v>
      </c>
      <c r="V59" s="37">
        <f t="shared" si="19"/>
        <v>3434.9683095188689</v>
      </c>
      <c r="W59" s="37">
        <f t="shared" si="19"/>
        <v>3453.0542027579859</v>
      </c>
      <c r="X59" s="37">
        <f t="shared" si="19"/>
        <v>3467.1058441711048</v>
      </c>
      <c r="Y59" s="37">
        <f t="shared" si="19"/>
        <v>3478.7671741362274</v>
      </c>
      <c r="Z59" s="37">
        <f t="shared" si="19"/>
        <v>3486.5630131859548</v>
      </c>
      <c r="AA59" s="37">
        <f t="shared" si="19"/>
        <v>3489.986717879669</v>
      </c>
      <c r="AB59" s="37">
        <f t="shared" si="19"/>
        <v>3489.1301955214062</v>
      </c>
    </row>
    <row r="60" spans="1:28" x14ac:dyDescent="0.25">
      <c r="A60" s="4" t="s">
        <v>217</v>
      </c>
      <c r="B60" s="37">
        <f t="shared" ref="B60:AB60" si="20">B40*B15*$F$6</f>
        <v>5588.4047734840424</v>
      </c>
      <c r="C60" s="37">
        <f t="shared" si="20"/>
        <v>5639.8671306492406</v>
      </c>
      <c r="D60" s="37">
        <f t="shared" si="20"/>
        <v>5726.9439166203829</v>
      </c>
      <c r="E60" s="37">
        <f t="shared" si="20"/>
        <v>5815.054645770927</v>
      </c>
      <c r="F60" s="37">
        <f t="shared" si="20"/>
        <v>5905.3975318319963</v>
      </c>
      <c r="G60" s="37">
        <f t="shared" si="20"/>
        <v>5998.0065725598542</v>
      </c>
      <c r="H60" s="37">
        <f t="shared" si="20"/>
        <v>6093.1124466735228</v>
      </c>
      <c r="I60" s="37">
        <f t="shared" si="20"/>
        <v>6160.8839320118577</v>
      </c>
      <c r="J60" s="37">
        <f t="shared" si="20"/>
        <v>6229.3680630171957</v>
      </c>
      <c r="K60" s="37">
        <f t="shared" si="20"/>
        <v>6297.4665715832562</v>
      </c>
      <c r="L60" s="37">
        <f t="shared" si="20"/>
        <v>6364.8591074664118</v>
      </c>
      <c r="M60" s="37">
        <f t="shared" si="20"/>
        <v>6431.3153088864601</v>
      </c>
      <c r="N60" s="37">
        <f t="shared" si="20"/>
        <v>6495.6909033600987</v>
      </c>
      <c r="O60" s="37">
        <f t="shared" si="20"/>
        <v>6557.3724106561349</v>
      </c>
      <c r="P60" s="37">
        <f t="shared" si="20"/>
        <v>6615.552294944092</v>
      </c>
      <c r="Q60" s="37">
        <f t="shared" si="20"/>
        <v>6669.3846741911611</v>
      </c>
      <c r="R60" s="37">
        <f t="shared" si="20"/>
        <v>6718.0666939950288</v>
      </c>
      <c r="S60" s="37">
        <f t="shared" si="20"/>
        <v>6753.3459036473005</v>
      </c>
      <c r="T60" s="37">
        <f t="shared" si="20"/>
        <v>6782.512959367974</v>
      </c>
      <c r="U60" s="37">
        <f t="shared" si="20"/>
        <v>6805.611463802622</v>
      </c>
      <c r="V60" s="37">
        <f t="shared" si="20"/>
        <v>6820.8844210148845</v>
      </c>
      <c r="W60" s="37">
        <f t="shared" si="20"/>
        <v>6827.8840358380858</v>
      </c>
      <c r="X60" s="37">
        <f t="shared" si="20"/>
        <v>6826.8202283076926</v>
      </c>
      <c r="Y60" s="37">
        <f t="shared" si="20"/>
        <v>6821.2287137870771</v>
      </c>
      <c r="Z60" s="37">
        <f t="shared" si="20"/>
        <v>6808.0923415532643</v>
      </c>
      <c r="AA60" s="37">
        <f t="shared" si="20"/>
        <v>6787.0448419913319</v>
      </c>
      <c r="AB60" s="37">
        <f t="shared" si="20"/>
        <v>6758.7192497706892</v>
      </c>
    </row>
    <row r="61" spans="1:28" x14ac:dyDescent="0.25">
      <c r="A61" s="4" t="s">
        <v>218</v>
      </c>
      <c r="B61" s="37">
        <f t="shared" ref="B61:AB61" si="21">B41*B15*$F$7</f>
        <v>88.455938102990345</v>
      </c>
      <c r="C61" s="37">
        <f t="shared" si="21"/>
        <v>89.125981933074911</v>
      </c>
      <c r="D61" s="37">
        <f t="shared" si="21"/>
        <v>90.374510469818944</v>
      </c>
      <c r="E61" s="37">
        <f t="shared" si="21"/>
        <v>91.63575922893358</v>
      </c>
      <c r="F61" s="37">
        <f t="shared" si="21"/>
        <v>92.939910657680699</v>
      </c>
      <c r="G61" s="37">
        <f t="shared" si="21"/>
        <v>94.289786144027971</v>
      </c>
      <c r="H61" s="37">
        <f t="shared" si="21"/>
        <v>95.683451252549531</v>
      </c>
      <c r="I61" s="37">
        <f t="shared" si="21"/>
        <v>96.666511516027811</v>
      </c>
      <c r="J61" s="37">
        <f t="shared" si="21"/>
        <v>97.681932532062689</v>
      </c>
      <c r="K61" s="37">
        <f t="shared" si="21"/>
        <v>98.723423715103564</v>
      </c>
      <c r="L61" s="37">
        <f t="shared" si="21"/>
        <v>99.791110501314492</v>
      </c>
      <c r="M61" s="37">
        <f t="shared" si="21"/>
        <v>100.87988665805085</v>
      </c>
      <c r="N61" s="37">
        <f t="shared" si="21"/>
        <v>101.9945756429621</v>
      </c>
      <c r="O61" s="37">
        <f t="shared" si="21"/>
        <v>103.10943596954738</v>
      </c>
      <c r="P61" s="37">
        <f t="shared" si="21"/>
        <v>104.2359788276588</v>
      </c>
      <c r="Q61" s="37">
        <f t="shared" si="21"/>
        <v>105.3531719731325</v>
      </c>
      <c r="R61" s="37">
        <f t="shared" si="21"/>
        <v>106.45873278608092</v>
      </c>
      <c r="S61" s="37">
        <f t="shared" si="21"/>
        <v>107.43034608110888</v>
      </c>
      <c r="T61" s="37">
        <f t="shared" si="21"/>
        <v>108.36761813821077</v>
      </c>
      <c r="U61" s="37">
        <f t="shared" si="21"/>
        <v>109.27245486769212</v>
      </c>
      <c r="V61" s="37">
        <f t="shared" si="21"/>
        <v>110.13235207727601</v>
      </c>
      <c r="W61" s="37">
        <f t="shared" si="21"/>
        <v>110.9272177632199</v>
      </c>
      <c r="X61" s="37">
        <f t="shared" si="21"/>
        <v>111.65004254573674</v>
      </c>
      <c r="Y61" s="37">
        <f t="shared" si="21"/>
        <v>112.32939993246181</v>
      </c>
      <c r="Z61" s="37">
        <f t="shared" si="21"/>
        <v>112.93459057927397</v>
      </c>
      <c r="AA61" s="37">
        <f t="shared" si="21"/>
        <v>113.46508197321805</v>
      </c>
      <c r="AB61" s="37">
        <f t="shared" si="21"/>
        <v>113.90956851806179</v>
      </c>
    </row>
    <row r="62" spans="1:28" x14ac:dyDescent="0.25">
      <c r="A62" s="4" t="s">
        <v>219</v>
      </c>
      <c r="B62" s="37">
        <f t="shared" ref="B62:AB62" si="22">B42*B15*$F$8</f>
        <v>84.345469109834411</v>
      </c>
      <c r="C62" s="37">
        <f t="shared" si="22"/>
        <v>85.69257043329263</v>
      </c>
      <c r="D62" s="37">
        <f t="shared" si="22"/>
        <v>87.652632101231333</v>
      </c>
      <c r="E62" s="37">
        <f t="shared" si="22"/>
        <v>89.748674536963591</v>
      </c>
      <c r="F62" s="37">
        <f t="shared" si="22"/>
        <v>92.007459416989647</v>
      </c>
      <c r="G62" s="37">
        <f t="shared" si="22"/>
        <v>94.427990758041958</v>
      </c>
      <c r="H62" s="37">
        <f t="shared" si="22"/>
        <v>97.017508043048238</v>
      </c>
      <c r="I62" s="37">
        <f t="shared" si="22"/>
        <v>99.306626483102974</v>
      </c>
      <c r="J62" s="37">
        <f t="shared" si="22"/>
        <v>101.69249515316207</v>
      </c>
      <c r="K62" s="37">
        <f t="shared" si="22"/>
        <v>104.15419665994504</v>
      </c>
      <c r="L62" s="37">
        <f t="shared" si="22"/>
        <v>106.71781252929043</v>
      </c>
      <c r="M62" s="37">
        <f t="shared" si="22"/>
        <v>109.36213952294688</v>
      </c>
      <c r="N62" s="37">
        <f t="shared" si="22"/>
        <v>112.07301737724333</v>
      </c>
      <c r="O62" s="37">
        <f t="shared" si="22"/>
        <v>114.83063636600419</v>
      </c>
      <c r="P62" s="37">
        <f t="shared" si="22"/>
        <v>117.62469942255461</v>
      </c>
      <c r="Q62" s="37">
        <f t="shared" si="22"/>
        <v>120.43299734752394</v>
      </c>
      <c r="R62" s="37">
        <f t="shared" si="22"/>
        <v>123.24468163451951</v>
      </c>
      <c r="S62" s="37">
        <f t="shared" si="22"/>
        <v>125.8950047781443</v>
      </c>
      <c r="T62" s="37">
        <f t="shared" si="22"/>
        <v>128.52352486479413</v>
      </c>
      <c r="U62" s="37">
        <f t="shared" si="22"/>
        <v>131.10273574904298</v>
      </c>
      <c r="V62" s="37">
        <f t="shared" si="22"/>
        <v>133.63733666650822</v>
      </c>
      <c r="W62" s="37">
        <f t="shared" si="22"/>
        <v>136.1186751663636</v>
      </c>
      <c r="X62" s="37">
        <f t="shared" si="22"/>
        <v>138.55852086416084</v>
      </c>
      <c r="Y62" s="37">
        <f t="shared" si="22"/>
        <v>140.94789318352332</v>
      </c>
      <c r="Z62" s="37">
        <f t="shared" si="22"/>
        <v>143.29121610175648</v>
      </c>
      <c r="AA62" s="37">
        <f t="shared" si="22"/>
        <v>145.58693836514897</v>
      </c>
      <c r="AB62" s="37">
        <f t="shared" si="22"/>
        <v>147.82454191897935</v>
      </c>
    </row>
    <row r="63" spans="1:28" x14ac:dyDescent="0.25">
      <c r="A63" s="4" t="s">
        <v>220</v>
      </c>
      <c r="B63" s="37">
        <f t="shared" ref="B63:AB63" si="23">B43*B15*$F$9</f>
        <v>73.305684331059581</v>
      </c>
      <c r="C63" s="37">
        <f t="shared" si="23"/>
        <v>74.372189678624537</v>
      </c>
      <c r="D63" s="37">
        <f t="shared" si="23"/>
        <v>75.982687007477537</v>
      </c>
      <c r="E63" s="37">
        <f t="shared" si="23"/>
        <v>77.740010849513325</v>
      </c>
      <c r="F63" s="37">
        <f t="shared" si="23"/>
        <v>79.51618533464746</v>
      </c>
      <c r="G63" s="37">
        <f t="shared" si="23"/>
        <v>81.425039029158185</v>
      </c>
      <c r="H63" s="37">
        <f t="shared" si="23"/>
        <v>83.39321720750749</v>
      </c>
      <c r="I63" s="37">
        <f t="shared" si="23"/>
        <v>85.001567378535242</v>
      </c>
      <c r="J63" s="37">
        <f t="shared" si="23"/>
        <v>86.641627205713903</v>
      </c>
      <c r="K63" s="37">
        <f t="shared" si="23"/>
        <v>88.406214287230171</v>
      </c>
      <c r="L63" s="37">
        <f t="shared" si="23"/>
        <v>90.209683317237349</v>
      </c>
      <c r="M63" s="37">
        <f t="shared" si="23"/>
        <v>92.079194611338082</v>
      </c>
      <c r="N63" s="37">
        <f t="shared" si="23"/>
        <v>93.973889271224721</v>
      </c>
      <c r="O63" s="37">
        <f t="shared" si="23"/>
        <v>95.900947687597551</v>
      </c>
      <c r="P63" s="37">
        <f t="shared" si="23"/>
        <v>97.885178584055808</v>
      </c>
      <c r="Q63" s="37">
        <f t="shared" si="23"/>
        <v>99.913297058774006</v>
      </c>
      <c r="R63" s="37">
        <f t="shared" si="23"/>
        <v>101.96588155503149</v>
      </c>
      <c r="S63" s="37">
        <f t="shared" si="23"/>
        <v>103.89337776934781</v>
      </c>
      <c r="T63" s="37">
        <f t="shared" si="23"/>
        <v>105.83811388368279</v>
      </c>
      <c r="U63" s="37">
        <f t="shared" si="23"/>
        <v>107.77216569809002</v>
      </c>
      <c r="V63" s="37">
        <f t="shared" si="23"/>
        <v>109.66455175439023</v>
      </c>
      <c r="W63" s="37">
        <f t="shared" si="23"/>
        <v>111.58230870775229</v>
      </c>
      <c r="X63" s="37">
        <f t="shared" si="23"/>
        <v>113.47146398066812</v>
      </c>
      <c r="Y63" s="37">
        <f t="shared" si="23"/>
        <v>115.36427732899134</v>
      </c>
      <c r="Z63" s="37">
        <f t="shared" si="23"/>
        <v>117.21634868744722</v>
      </c>
      <c r="AA63" s="37">
        <f t="shared" si="23"/>
        <v>119.04502918490135</v>
      </c>
      <c r="AB63" s="37">
        <f t="shared" si="23"/>
        <v>120.8683233267387</v>
      </c>
    </row>
    <row r="64" spans="1:28" x14ac:dyDescent="0.25">
      <c r="A64" s="4" t="s">
        <v>221</v>
      </c>
      <c r="B64" s="37">
        <f t="shared" ref="B64:AB64" si="24">B44*B15*$F$10</f>
        <v>66.075465627666304</v>
      </c>
      <c r="C64" s="37">
        <f t="shared" si="24"/>
        <v>67.899351216929801</v>
      </c>
      <c r="D64" s="37">
        <f t="shared" si="24"/>
        <v>70.199677135232278</v>
      </c>
      <c r="E64" s="37">
        <f t="shared" si="24"/>
        <v>72.559799562105127</v>
      </c>
      <c r="F64" s="37">
        <f t="shared" si="24"/>
        <v>74.980933462767581</v>
      </c>
      <c r="G64" s="37">
        <f t="shared" si="24"/>
        <v>77.472663753937312</v>
      </c>
      <c r="H64" s="37">
        <f t="shared" si="24"/>
        <v>80.060782183098127</v>
      </c>
      <c r="I64" s="37">
        <f t="shared" si="24"/>
        <v>82.35572986723902</v>
      </c>
      <c r="J64" s="37">
        <f t="shared" si="24"/>
        <v>84.704597482041976</v>
      </c>
      <c r="K64" s="37">
        <f t="shared" si="24"/>
        <v>87.126532913025912</v>
      </c>
      <c r="L64" s="37">
        <f t="shared" si="24"/>
        <v>89.635848723522528</v>
      </c>
      <c r="M64" s="37">
        <f t="shared" si="24"/>
        <v>92.210105998091663</v>
      </c>
      <c r="N64" s="37">
        <f t="shared" si="24"/>
        <v>94.872843281781769</v>
      </c>
      <c r="O64" s="37">
        <f t="shared" si="24"/>
        <v>97.607759318217873</v>
      </c>
      <c r="P64" s="37">
        <f t="shared" si="24"/>
        <v>100.41015713680396</v>
      </c>
      <c r="Q64" s="37">
        <f t="shared" si="24"/>
        <v>103.28409602098719</v>
      </c>
      <c r="R64" s="37">
        <f t="shared" si="24"/>
        <v>106.20841318813882</v>
      </c>
      <c r="S64" s="37">
        <f t="shared" si="24"/>
        <v>109.05786107787884</v>
      </c>
      <c r="T64" s="37">
        <f t="shared" si="24"/>
        <v>111.94765896429287</v>
      </c>
      <c r="U64" s="37">
        <f t="shared" si="24"/>
        <v>114.8699541851346</v>
      </c>
      <c r="V64" s="37">
        <f t="shared" si="24"/>
        <v>117.80914551551962</v>
      </c>
      <c r="W64" s="37">
        <f t="shared" si="24"/>
        <v>120.74880557409169</v>
      </c>
      <c r="X64" s="37">
        <f t="shared" si="24"/>
        <v>123.70339845345235</v>
      </c>
      <c r="Y64" s="37">
        <f t="shared" si="24"/>
        <v>126.64785333258595</v>
      </c>
      <c r="Z64" s="37">
        <f t="shared" si="24"/>
        <v>129.58037667688833</v>
      </c>
      <c r="AA64" s="37">
        <f t="shared" si="24"/>
        <v>132.47185596280627</v>
      </c>
      <c r="AB64" s="37">
        <f t="shared" si="24"/>
        <v>135.31878436379117</v>
      </c>
    </row>
    <row r="65" spans="1:28" x14ac:dyDescent="0.25">
      <c r="A65" s="4" t="s">
        <v>222</v>
      </c>
      <c r="B65" s="37">
        <f t="shared" ref="B65:AB65" si="25">B45*B15*$F$11</f>
        <v>6143.8677477387091</v>
      </c>
      <c r="C65" s="37">
        <f t="shared" si="25"/>
        <v>6191.1298831233362</v>
      </c>
      <c r="D65" s="37">
        <f t="shared" si="25"/>
        <v>6277.6160528755736</v>
      </c>
      <c r="E65" s="37">
        <f t="shared" si="25"/>
        <v>6365.472707035713</v>
      </c>
      <c r="F65" s="37">
        <f t="shared" si="25"/>
        <v>6455.9619056835591</v>
      </c>
      <c r="G65" s="37">
        <f t="shared" si="25"/>
        <v>6549.2974138861537</v>
      </c>
      <c r="H65" s="37">
        <f t="shared" si="25"/>
        <v>6645.3275650155801</v>
      </c>
      <c r="I65" s="37">
        <f t="shared" si="25"/>
        <v>6711.6256739371311</v>
      </c>
      <c r="J65" s="37">
        <f t="shared" si="25"/>
        <v>6778.8435263476122</v>
      </c>
      <c r="K65" s="37">
        <f t="shared" si="25"/>
        <v>6845.809387481384</v>
      </c>
      <c r="L65" s="37">
        <f t="shared" si="25"/>
        <v>6911.9922688360311</v>
      </c>
      <c r="M65" s="37">
        <f t="shared" si="25"/>
        <v>6977.3029304112724</v>
      </c>
      <c r="N65" s="37">
        <f t="shared" si="25"/>
        <v>7040.3308853786175</v>
      </c>
      <c r="O65" s="37">
        <f t="shared" si="25"/>
        <v>7100.3258499628773</v>
      </c>
      <c r="P65" s="37">
        <f t="shared" si="25"/>
        <v>7156.6695639584177</v>
      </c>
      <c r="Q65" s="37">
        <f t="shared" si="25"/>
        <v>7208.1994947318781</v>
      </c>
      <c r="R65" s="37">
        <f t="shared" si="25"/>
        <v>7254.2200326784559</v>
      </c>
      <c r="S65" s="37">
        <f t="shared" si="25"/>
        <v>7285.7582086455195</v>
      </c>
      <c r="T65" s="37">
        <f t="shared" si="25"/>
        <v>7310.6222962314778</v>
      </c>
      <c r="U65" s="37">
        <f t="shared" si="25"/>
        <v>7328.7903876738783</v>
      </c>
      <c r="V65" s="37">
        <f t="shared" si="25"/>
        <v>7338.5186996670918</v>
      </c>
      <c r="W65" s="37">
        <f t="shared" si="25"/>
        <v>7339.4376023736522</v>
      </c>
      <c r="X65" s="37">
        <f t="shared" si="25"/>
        <v>7331.4829179422513</v>
      </c>
      <c r="Y65" s="37">
        <f t="shared" si="25"/>
        <v>7318.6304605943515</v>
      </c>
      <c r="Z65" s="37">
        <f t="shared" si="25"/>
        <v>7297.5847562481422</v>
      </c>
      <c r="AA65" s="37">
        <f t="shared" si="25"/>
        <v>7268.2713955291574</v>
      </c>
      <c r="AB65" s="37">
        <f t="shared" si="25"/>
        <v>7231.2336271247405</v>
      </c>
    </row>
    <row r="67" spans="1:28" x14ac:dyDescent="0.25">
      <c r="A67" s="4" t="s">
        <v>328</v>
      </c>
    </row>
    <row r="68" spans="1:28" x14ac:dyDescent="0.25">
      <c r="A68" s="4" t="s">
        <v>329</v>
      </c>
      <c r="B68" s="40">
        <f t="shared" ref="B68:AB68" si="26">B48+B49</f>
        <v>32.504365146855378</v>
      </c>
      <c r="C68" s="40">
        <f t="shared" si="26"/>
        <v>32.050194259632278</v>
      </c>
      <c r="D68" s="40">
        <f t="shared" si="26"/>
        <v>31.808890174263354</v>
      </c>
      <c r="E68" s="40">
        <f t="shared" si="26"/>
        <v>31.569898167187326</v>
      </c>
      <c r="F68" s="40">
        <f t="shared" si="26"/>
        <v>31.327725210414712</v>
      </c>
      <c r="G68" s="40">
        <f t="shared" si="26"/>
        <v>31.086229016705985</v>
      </c>
      <c r="H68" s="40">
        <f t="shared" si="26"/>
        <v>30.843720848192714</v>
      </c>
      <c r="I68" s="40">
        <f t="shared" si="26"/>
        <v>30.457746543438731</v>
      </c>
      <c r="J68" s="40">
        <f t="shared" si="26"/>
        <v>30.07277264048772</v>
      </c>
      <c r="K68" s="40">
        <f t="shared" si="26"/>
        <v>29.68585689094617</v>
      </c>
      <c r="L68" s="40">
        <f t="shared" si="26"/>
        <v>29.298877549642437</v>
      </c>
      <c r="M68" s="40">
        <f t="shared" si="26"/>
        <v>28.909985381983716</v>
      </c>
      <c r="N68" s="40">
        <f t="shared" si="26"/>
        <v>28.522856604542007</v>
      </c>
      <c r="O68" s="40">
        <f t="shared" si="26"/>
        <v>28.129993443722586</v>
      </c>
      <c r="P68" s="40">
        <f t="shared" si="26"/>
        <v>27.73141374192117</v>
      </c>
      <c r="Q68" s="40">
        <f t="shared" si="26"/>
        <v>27.332475839264411</v>
      </c>
      <c r="R68" s="40">
        <f t="shared" si="26"/>
        <v>26.929355775693111</v>
      </c>
      <c r="S68" s="40">
        <f t="shared" si="26"/>
        <v>26.496992081024295</v>
      </c>
      <c r="T68" s="40">
        <f t="shared" si="26"/>
        <v>26.068089822739161</v>
      </c>
      <c r="U68" s="40">
        <f t="shared" si="26"/>
        <v>25.645874793050854</v>
      </c>
      <c r="V68" s="40">
        <f t="shared" si="26"/>
        <v>25.233444996001722</v>
      </c>
      <c r="W68" s="40">
        <f t="shared" si="26"/>
        <v>24.830254879037838</v>
      </c>
      <c r="X68" s="40">
        <f t="shared" si="26"/>
        <v>24.444693244672024</v>
      </c>
      <c r="Y68" s="40">
        <f t="shared" si="26"/>
        <v>24.070930746195081</v>
      </c>
      <c r="Z68" s="40">
        <f t="shared" si="26"/>
        <v>23.708477805963575</v>
      </c>
      <c r="AA68" s="40">
        <f t="shared" si="26"/>
        <v>23.356834349529912</v>
      </c>
      <c r="AB68" s="40">
        <f t="shared" si="26"/>
        <v>23.019047100795763</v>
      </c>
    </row>
    <row r="69" spans="1:28" x14ac:dyDescent="0.25">
      <c r="A69" s="4" t="s">
        <v>330</v>
      </c>
      <c r="B69" s="40">
        <f t="shared" ref="B69:AB69" si="27">B50+B51+B52+B53</f>
        <v>26.903357033286081</v>
      </c>
      <c r="C69" s="40">
        <f t="shared" si="27"/>
        <v>26.551381327997213</v>
      </c>
      <c r="D69" s="40">
        <f t="shared" si="27"/>
        <v>26.376480490996112</v>
      </c>
      <c r="E69" s="40">
        <f t="shared" si="27"/>
        <v>26.202683570776372</v>
      </c>
      <c r="F69" s="40">
        <f t="shared" si="27"/>
        <v>26.028604023312688</v>
      </c>
      <c r="G69" s="40">
        <f t="shared" si="27"/>
        <v>25.856055815824885</v>
      </c>
      <c r="H69" s="40">
        <f t="shared" si="27"/>
        <v>25.681564689628402</v>
      </c>
      <c r="I69" s="40">
        <f t="shared" si="27"/>
        <v>25.3888923657763</v>
      </c>
      <c r="J69" s="40">
        <f t="shared" si="27"/>
        <v>25.092461506311206</v>
      </c>
      <c r="K69" s="40">
        <f t="shared" si="27"/>
        <v>24.790834489186814</v>
      </c>
      <c r="L69" s="40">
        <f t="shared" si="27"/>
        <v>24.483824113471659</v>
      </c>
      <c r="M69" s="40">
        <f t="shared" si="27"/>
        <v>24.168830011644769</v>
      </c>
      <c r="N69" s="40">
        <f t="shared" si="27"/>
        <v>23.850484138903553</v>
      </c>
      <c r="O69" s="40">
        <f t="shared" si="27"/>
        <v>23.518414222058997</v>
      </c>
      <c r="P69" s="40">
        <f t="shared" si="27"/>
        <v>23.180451363420325</v>
      </c>
      <c r="Q69" s="40">
        <f t="shared" si="27"/>
        <v>22.836035769322649</v>
      </c>
      <c r="R69" s="40">
        <f t="shared" si="27"/>
        <v>22.484941637779293</v>
      </c>
      <c r="S69" s="40">
        <f t="shared" si="27"/>
        <v>22.106953934149079</v>
      </c>
      <c r="T69" s="40">
        <f t="shared" si="27"/>
        <v>21.731775647850846</v>
      </c>
      <c r="U69" s="40">
        <f t="shared" si="27"/>
        <v>21.363074674666741</v>
      </c>
      <c r="V69" s="40">
        <f t="shared" si="27"/>
        <v>21.000958438078396</v>
      </c>
      <c r="W69" s="40">
        <f t="shared" si="27"/>
        <v>20.65013086975441</v>
      </c>
      <c r="X69" s="40">
        <f t="shared" si="27"/>
        <v>20.314382385798176</v>
      </c>
      <c r="Y69" s="40">
        <f t="shared" si="27"/>
        <v>19.985984662447972</v>
      </c>
      <c r="Z69" s="40">
        <f t="shared" si="27"/>
        <v>19.669558810057776</v>
      </c>
      <c r="AA69" s="40">
        <f t="shared" si="27"/>
        <v>19.364734546376965</v>
      </c>
      <c r="AB69" s="40">
        <f t="shared" si="27"/>
        <v>19.072302955450887</v>
      </c>
    </row>
    <row r="70" spans="1:28" x14ac:dyDescent="0.25">
      <c r="A70" s="4" t="s">
        <v>331</v>
      </c>
      <c r="B70" s="40">
        <f t="shared" ref="B70:AB70" si="28">B54+B55</f>
        <v>31.388394325811291</v>
      </c>
      <c r="C70" s="40">
        <f t="shared" si="28"/>
        <v>30.865167962904483</v>
      </c>
      <c r="D70" s="40">
        <f t="shared" si="28"/>
        <v>30.543090497286595</v>
      </c>
      <c r="E70" s="40">
        <f t="shared" si="28"/>
        <v>30.220851763278784</v>
      </c>
      <c r="F70" s="40">
        <f t="shared" si="28"/>
        <v>29.88764804086248</v>
      </c>
      <c r="G70" s="40">
        <f t="shared" si="28"/>
        <v>29.562377239646697</v>
      </c>
      <c r="H70" s="40">
        <f t="shared" si="28"/>
        <v>29.236777329617055</v>
      </c>
      <c r="I70" s="40">
        <f t="shared" si="28"/>
        <v>28.776701446330247</v>
      </c>
      <c r="J70" s="40">
        <f t="shared" si="28"/>
        <v>28.320537537193342</v>
      </c>
      <c r="K70" s="40">
        <f t="shared" si="28"/>
        <v>27.864901821740581</v>
      </c>
      <c r="L70" s="40">
        <f t="shared" si="28"/>
        <v>27.414019876468831</v>
      </c>
      <c r="M70" s="40">
        <f t="shared" si="28"/>
        <v>26.965529912137054</v>
      </c>
      <c r="N70" s="40">
        <f t="shared" si="28"/>
        <v>26.523796237386055</v>
      </c>
      <c r="O70" s="40">
        <f t="shared" si="28"/>
        <v>26.079728033861176</v>
      </c>
      <c r="P70" s="40">
        <f t="shared" si="28"/>
        <v>25.639133265567747</v>
      </c>
      <c r="Q70" s="40">
        <f t="shared" si="28"/>
        <v>25.202545907594324</v>
      </c>
      <c r="R70" s="40">
        <f t="shared" si="28"/>
        <v>24.771164640593984</v>
      </c>
      <c r="S70" s="40">
        <f t="shared" si="28"/>
        <v>24.311781204038841</v>
      </c>
      <c r="T70" s="40">
        <f t="shared" si="28"/>
        <v>23.862810348185803</v>
      </c>
      <c r="U70" s="40">
        <f t="shared" si="28"/>
        <v>23.428153926997464</v>
      </c>
      <c r="V70" s="40">
        <f t="shared" si="28"/>
        <v>23.003894873469147</v>
      </c>
      <c r="W70" s="40">
        <f t="shared" si="28"/>
        <v>22.599080171819399</v>
      </c>
      <c r="X70" s="40">
        <f t="shared" si="28"/>
        <v>22.204767888738754</v>
      </c>
      <c r="Y70" s="40">
        <f t="shared" si="28"/>
        <v>21.825543326863873</v>
      </c>
      <c r="Z70" s="40">
        <f t="shared" si="28"/>
        <v>21.458995821121938</v>
      </c>
      <c r="AA70" s="40">
        <f t="shared" si="28"/>
        <v>21.10276336293412</v>
      </c>
      <c r="AB70" s="40">
        <f t="shared" si="28"/>
        <v>20.758785086850708</v>
      </c>
    </row>
    <row r="71" spans="1:28" x14ac:dyDescent="0.25">
      <c r="A71" s="4" t="s">
        <v>332</v>
      </c>
      <c r="B71" s="40">
        <f t="shared" ref="B71:AB71" si="29">B58+B59</f>
        <v>5562.0331927058796</v>
      </c>
      <c r="C71" s="40">
        <f t="shared" si="29"/>
        <v>5614.3941738986523</v>
      </c>
      <c r="D71" s="40">
        <f t="shared" si="29"/>
        <v>5702.6614760391676</v>
      </c>
      <c r="E71" s="40">
        <f t="shared" si="29"/>
        <v>5792.495792129559</v>
      </c>
      <c r="F71" s="40">
        <f t="shared" si="29"/>
        <v>5884.9492577898982</v>
      </c>
      <c r="G71" s="40">
        <f t="shared" si="29"/>
        <v>5980.2683175330285</v>
      </c>
      <c r="H71" s="40">
        <f t="shared" si="29"/>
        <v>6078.5146548926032</v>
      </c>
      <c r="I71" s="40">
        <f t="shared" si="29"/>
        <v>6150.0355869729983</v>
      </c>
      <c r="J71" s="40">
        <f t="shared" si="29"/>
        <v>6222.7068293979446</v>
      </c>
      <c r="K71" s="40">
        <f t="shared" si="29"/>
        <v>6295.6992303185234</v>
      </c>
      <c r="L71" s="40">
        <f t="shared" si="29"/>
        <v>6368.6775409498332</v>
      </c>
      <c r="M71" s="40">
        <f t="shared" si="29"/>
        <v>6441.4049138660948</v>
      </c>
      <c r="N71" s="40">
        <f t="shared" si="29"/>
        <v>6512.8863011832855</v>
      </c>
      <c r="O71" s="40">
        <f t="shared" si="29"/>
        <v>6582.3831113085598</v>
      </c>
      <c r="P71" s="40">
        <f t="shared" si="29"/>
        <v>6649.349585921238</v>
      </c>
      <c r="Q71" s="40">
        <f t="shared" si="29"/>
        <v>6712.8545432797673</v>
      </c>
      <c r="R71" s="40">
        <f t="shared" si="29"/>
        <v>6772.1685221186835</v>
      </c>
      <c r="S71" s="40">
        <f t="shared" si="29"/>
        <v>6818.9599842900916</v>
      </c>
      <c r="T71" s="40">
        <f t="shared" si="29"/>
        <v>6860.5249504643343</v>
      </c>
      <c r="U71" s="40">
        <f t="shared" si="29"/>
        <v>6896.7886557472621</v>
      </c>
      <c r="V71" s="40">
        <f t="shared" si="29"/>
        <v>6926.1953635315849</v>
      </c>
      <c r="W71" s="40">
        <f t="shared" si="29"/>
        <v>6948.3207292628867</v>
      </c>
      <c r="X71" s="40">
        <f t="shared" si="29"/>
        <v>6963.216500367238</v>
      </c>
      <c r="Y71" s="40">
        <f t="shared" si="29"/>
        <v>6973.9884117509091</v>
      </c>
      <c r="Z71" s="40">
        <f t="shared" si="29"/>
        <v>6977.8980681385738</v>
      </c>
      <c r="AA71" s="40">
        <f t="shared" si="29"/>
        <v>6974.6729006464766</v>
      </c>
      <c r="AB71" s="40">
        <f t="shared" si="29"/>
        <v>6964.7369285682398</v>
      </c>
    </row>
    <row r="72" spans="1:28" x14ac:dyDescent="0.25">
      <c r="A72" s="4" t="s">
        <v>333</v>
      </c>
      <c r="B72" s="40">
        <f t="shared" ref="B72:AB72" si="30">B60+B61+B62+B63</f>
        <v>5834.5118650279264</v>
      </c>
      <c r="C72" s="40">
        <f t="shared" si="30"/>
        <v>5889.0578726942331</v>
      </c>
      <c r="D72" s="40">
        <f t="shared" si="30"/>
        <v>5980.9537461989112</v>
      </c>
      <c r="E72" s="40">
        <f t="shared" si="30"/>
        <v>6074.1790903863366</v>
      </c>
      <c r="F72" s="40">
        <f t="shared" si="30"/>
        <v>6169.8610872413146</v>
      </c>
      <c r="G72" s="40">
        <f t="shared" si="30"/>
        <v>6268.1493884910824</v>
      </c>
      <c r="H72" s="40">
        <f t="shared" si="30"/>
        <v>6369.2066231766275</v>
      </c>
      <c r="I72" s="40">
        <f t="shared" si="30"/>
        <v>6441.8586373895241</v>
      </c>
      <c r="J72" s="40">
        <f t="shared" si="30"/>
        <v>6515.3841179081346</v>
      </c>
      <c r="K72" s="40">
        <f t="shared" si="30"/>
        <v>6588.7504062455346</v>
      </c>
      <c r="L72" s="40">
        <f t="shared" si="30"/>
        <v>6661.5777138142539</v>
      </c>
      <c r="M72" s="40">
        <f t="shared" si="30"/>
        <v>6733.6365296787953</v>
      </c>
      <c r="N72" s="40">
        <f t="shared" si="30"/>
        <v>6803.7323856515295</v>
      </c>
      <c r="O72" s="40">
        <f t="shared" si="30"/>
        <v>6871.2134306792832</v>
      </c>
      <c r="P72" s="40">
        <f t="shared" si="30"/>
        <v>6935.2981517783619</v>
      </c>
      <c r="Q72" s="40">
        <f t="shared" si="30"/>
        <v>6995.0841405705924</v>
      </c>
      <c r="R72" s="40">
        <f t="shared" si="30"/>
        <v>7049.7359899706598</v>
      </c>
      <c r="S72" s="40">
        <f t="shared" si="30"/>
        <v>7090.5646322759021</v>
      </c>
      <c r="T72" s="40">
        <f t="shared" si="30"/>
        <v>7125.2422162546618</v>
      </c>
      <c r="U72" s="40">
        <f t="shared" si="30"/>
        <v>7153.7588201174476</v>
      </c>
      <c r="V72" s="40">
        <f t="shared" si="30"/>
        <v>7174.3186615130589</v>
      </c>
      <c r="W72" s="40">
        <f t="shared" si="30"/>
        <v>7186.5122374754219</v>
      </c>
      <c r="X72" s="40">
        <f t="shared" si="30"/>
        <v>7190.5002556982581</v>
      </c>
      <c r="Y72" s="40">
        <f t="shared" si="30"/>
        <v>7189.8702842320536</v>
      </c>
      <c r="Z72" s="40">
        <f t="shared" si="30"/>
        <v>7181.5344969217422</v>
      </c>
      <c r="AA72" s="40">
        <f t="shared" si="30"/>
        <v>7165.1418915145996</v>
      </c>
      <c r="AB72" s="40">
        <f t="shared" si="30"/>
        <v>7141.3216835344692</v>
      </c>
    </row>
    <row r="73" spans="1:28" x14ac:dyDescent="0.25">
      <c r="A73" s="4" t="s">
        <v>334</v>
      </c>
      <c r="B73" s="40">
        <f t="shared" ref="B73:AB73" si="31">B64+B65</f>
        <v>6209.9432133663759</v>
      </c>
      <c r="C73" s="40">
        <f t="shared" si="31"/>
        <v>6259.0292343402662</v>
      </c>
      <c r="D73" s="40">
        <f t="shared" si="31"/>
        <v>6347.815730010806</v>
      </c>
      <c r="E73" s="40">
        <f t="shared" si="31"/>
        <v>6438.0325065978177</v>
      </c>
      <c r="F73" s="40">
        <f t="shared" si="31"/>
        <v>6530.9428391463271</v>
      </c>
      <c r="G73" s="40">
        <f t="shared" si="31"/>
        <v>6626.7700776400907</v>
      </c>
      <c r="H73" s="40">
        <f t="shared" si="31"/>
        <v>6725.3883471986783</v>
      </c>
      <c r="I73" s="40">
        <f t="shared" si="31"/>
        <v>6793.9814038043705</v>
      </c>
      <c r="J73" s="40">
        <f t="shared" si="31"/>
        <v>6863.5481238296543</v>
      </c>
      <c r="K73" s="40">
        <f t="shared" si="31"/>
        <v>6932.9359203944095</v>
      </c>
      <c r="L73" s="40">
        <f t="shared" si="31"/>
        <v>7001.6281175595541</v>
      </c>
      <c r="M73" s="40">
        <f t="shared" si="31"/>
        <v>7069.5130364093638</v>
      </c>
      <c r="N73" s="40">
        <f t="shared" si="31"/>
        <v>7135.2037286603991</v>
      </c>
      <c r="O73" s="40">
        <f t="shared" si="31"/>
        <v>7197.9336092810954</v>
      </c>
      <c r="P73" s="40">
        <f t="shared" si="31"/>
        <v>7257.0797210952214</v>
      </c>
      <c r="Q73" s="40">
        <f t="shared" si="31"/>
        <v>7311.483590752865</v>
      </c>
      <c r="R73" s="40">
        <f t="shared" si="31"/>
        <v>7360.4284458665952</v>
      </c>
      <c r="S73" s="40">
        <f t="shared" si="31"/>
        <v>7394.816069723398</v>
      </c>
      <c r="T73" s="40">
        <f t="shared" si="31"/>
        <v>7422.5699551957705</v>
      </c>
      <c r="U73" s="40">
        <f t="shared" si="31"/>
        <v>7443.660341859013</v>
      </c>
      <c r="V73" s="40">
        <f t="shared" si="31"/>
        <v>7456.3278451826118</v>
      </c>
      <c r="W73" s="40">
        <f t="shared" si="31"/>
        <v>7460.1864079477436</v>
      </c>
      <c r="X73" s="40">
        <f t="shared" si="31"/>
        <v>7455.1863163957041</v>
      </c>
      <c r="Y73" s="40">
        <f t="shared" si="31"/>
        <v>7445.2783139269377</v>
      </c>
      <c r="Z73" s="40">
        <f t="shared" si="31"/>
        <v>7427.1651329250308</v>
      </c>
      <c r="AA73" s="40">
        <f t="shared" si="31"/>
        <v>7400.7432514919637</v>
      </c>
      <c r="AB73" s="40">
        <f t="shared" si="31"/>
        <v>7366.552411488532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18.099421227276626</v>
      </c>
      <c r="C2" s="37">
        <f>BDbDT_calcs!C48</f>
        <v>17.82995971212236</v>
      </c>
      <c r="D2" s="37">
        <f>BDbDT_calcs!D48</f>
        <v>17.678210380158038</v>
      </c>
      <c r="E2" s="37">
        <f>BDbDT_calcs!E48</f>
        <v>17.528829766774514</v>
      </c>
      <c r="F2" s="37">
        <f>BDbDT_calcs!F48</f>
        <v>17.378120673101705</v>
      </c>
      <c r="G2" s="37">
        <f>BDbDT_calcs!G48</f>
        <v>17.226107072006002</v>
      </c>
      <c r="H2" s="37">
        <f>BDbDT_calcs!H48</f>
        <v>17.072900660618291</v>
      </c>
      <c r="I2" s="37">
        <f>BDbDT_calcs!I48</f>
        <v>16.84814978386639</v>
      </c>
      <c r="J2" s="37">
        <f>BDbDT_calcs!J48</f>
        <v>16.61503712292863</v>
      </c>
      <c r="K2" s="37">
        <f>BDbDT_calcs!K48</f>
        <v>16.388089682846129</v>
      </c>
      <c r="L2" s="37">
        <f>BDbDT_calcs!L48</f>
        <v>16.15414198044261</v>
      </c>
      <c r="M2" s="37">
        <f>BDbDT_calcs!M48</f>
        <v>15.92629588480191</v>
      </c>
      <c r="N2" s="37">
        <f>BDbDT_calcs!N48</f>
        <v>15.706294438934046</v>
      </c>
      <c r="O2" s="37">
        <f>BDbDT_calcs!O48</f>
        <v>15.468158183528262</v>
      </c>
      <c r="P2" s="37">
        <f>BDbDT_calcs!P48</f>
        <v>15.239627170022132</v>
      </c>
      <c r="Q2" s="37">
        <f>BDbDT_calcs!Q48</f>
        <v>15.00400276750849</v>
      </c>
      <c r="R2" s="37">
        <f>BDbDT_calcs!R48</f>
        <v>14.77037885230464</v>
      </c>
      <c r="S2" s="37">
        <f>BDbDT_calcs!S48</f>
        <v>14.518348585359302</v>
      </c>
      <c r="T2" s="37">
        <f>BDbDT_calcs!T48</f>
        <v>14.270326028983209</v>
      </c>
      <c r="U2" s="37">
        <f>BDbDT_calcs!U48</f>
        <v>14.026074223190371</v>
      </c>
      <c r="V2" s="37">
        <f>BDbDT_calcs!V48</f>
        <v>13.785319973569694</v>
      </c>
      <c r="W2" s="37">
        <f>BDbDT_calcs!W48</f>
        <v>13.549570191164175</v>
      </c>
      <c r="X2" s="37">
        <f>BDbDT_calcs!X48</f>
        <v>13.331010920329103</v>
      </c>
      <c r="Y2" s="37">
        <f>BDbDT_calcs!Y48</f>
        <v>13.115080053054101</v>
      </c>
      <c r="Z2" s="37">
        <f>BDbDT_calcs!Z48</f>
        <v>12.910391000892471</v>
      </c>
      <c r="AA2" s="37">
        <f>BDbDT_calcs!AA48</f>
        <v>12.709567629257478</v>
      </c>
      <c r="AB2" s="37">
        <f>BDbDT_calcs!AB48</f>
        <v>12.510622783885545</v>
      </c>
    </row>
    <row r="3" spans="1:28" x14ac:dyDescent="0.25">
      <c r="A3" s="4" t="s">
        <v>216</v>
      </c>
      <c r="B3" s="37">
        <f>BDbDT_calcs!B49</f>
        <v>14.404943919578756</v>
      </c>
      <c r="C3" s="37">
        <f>BDbDT_calcs!C49</f>
        <v>14.22023454750992</v>
      </c>
      <c r="D3" s="37">
        <f>BDbDT_calcs!D49</f>
        <v>14.130679794105317</v>
      </c>
      <c r="E3" s="37">
        <f>BDbDT_calcs!E49</f>
        <v>14.041068400412813</v>
      </c>
      <c r="F3" s="37">
        <f>BDbDT_calcs!F49</f>
        <v>13.949604537313009</v>
      </c>
      <c r="G3" s="37">
        <f>BDbDT_calcs!G49</f>
        <v>13.860121944699985</v>
      </c>
      <c r="H3" s="37">
        <f>BDbDT_calcs!H49</f>
        <v>13.770820187574422</v>
      </c>
      <c r="I3" s="37">
        <f>BDbDT_calcs!I49</f>
        <v>13.609596759572343</v>
      </c>
      <c r="J3" s="37">
        <f>BDbDT_calcs!J49</f>
        <v>13.457735517559088</v>
      </c>
      <c r="K3" s="37">
        <f>BDbDT_calcs!K49</f>
        <v>13.297767208100039</v>
      </c>
      <c r="L3" s="37">
        <f>BDbDT_calcs!L49</f>
        <v>13.144735569199828</v>
      </c>
      <c r="M3" s="37">
        <f>BDbDT_calcs!M49</f>
        <v>12.983689497181809</v>
      </c>
      <c r="N3" s="37">
        <f>BDbDT_calcs!N49</f>
        <v>12.81656216560796</v>
      </c>
      <c r="O3" s="37">
        <f>BDbDT_calcs!O49</f>
        <v>12.661835260194325</v>
      </c>
      <c r="P3" s="37">
        <f>BDbDT_calcs!P49</f>
        <v>12.491786571899038</v>
      </c>
      <c r="Q3" s="37">
        <f>BDbDT_calcs!Q49</f>
        <v>12.328473071755923</v>
      </c>
      <c r="R3" s="37">
        <f>BDbDT_calcs!R49</f>
        <v>12.158976923388471</v>
      </c>
      <c r="S3" s="37">
        <f>BDbDT_calcs!S49</f>
        <v>11.978643495664995</v>
      </c>
      <c r="T3" s="37">
        <f>BDbDT_calcs!T49</f>
        <v>11.79776379375595</v>
      </c>
      <c r="U3" s="37">
        <f>BDbDT_calcs!U49</f>
        <v>11.619800569860484</v>
      </c>
      <c r="V3" s="37">
        <f>BDbDT_calcs!V49</f>
        <v>11.448125022432027</v>
      </c>
      <c r="W3" s="37">
        <f>BDbDT_calcs!W49</f>
        <v>11.280684687873663</v>
      </c>
      <c r="X3" s="37">
        <f>BDbDT_calcs!X49</f>
        <v>11.113682324342919</v>
      </c>
      <c r="Y3" s="37">
        <f>BDbDT_calcs!Y49</f>
        <v>10.955850693140979</v>
      </c>
      <c r="Z3" s="37">
        <f>BDbDT_calcs!Z49</f>
        <v>10.798086805071106</v>
      </c>
      <c r="AA3" s="37">
        <f>BDbDT_calcs!AA49</f>
        <v>10.647266720272434</v>
      </c>
      <c r="AB3" s="37">
        <f>BDbDT_calcs!AB49</f>
        <v>10.508424316910219</v>
      </c>
    </row>
    <row r="4" spans="1:28" x14ac:dyDescent="0.25">
      <c r="A4" s="4" t="s">
        <v>217</v>
      </c>
      <c r="B4" s="37">
        <f>BDbDT_calcs!B50</f>
        <v>23.500705252441843</v>
      </c>
      <c r="C4" s="37">
        <f>BDbDT_calcs!C50</f>
        <v>23.173007801133583</v>
      </c>
      <c r="D4" s="37">
        <f>BDbDT_calcs!D50</f>
        <v>23.002955745264693</v>
      </c>
      <c r="E4" s="37">
        <f>BDbDT_calcs!E50</f>
        <v>22.831219426625715</v>
      </c>
      <c r="F4" s="37">
        <f>BDbDT_calcs!F50</f>
        <v>22.660325698259708</v>
      </c>
      <c r="G4" s="37">
        <f>BDbDT_calcs!G50</f>
        <v>22.492672174857972</v>
      </c>
      <c r="H4" s="37">
        <f>BDbDT_calcs!H50</f>
        <v>22.318972195961567</v>
      </c>
      <c r="I4" s="37">
        <f>BDbDT_calcs!I50</f>
        <v>22.046526318293576</v>
      </c>
      <c r="J4" s="37">
        <f>BDbDT_calcs!J50</f>
        <v>21.768519106566693</v>
      </c>
      <c r="K4" s="37">
        <f>BDbDT_calcs!K50</f>
        <v>21.486571659771151</v>
      </c>
      <c r="L4" s="37">
        <f>BDbDT_calcs!L50</f>
        <v>21.198427414148529</v>
      </c>
      <c r="M4" s="37">
        <f>BDbDT_calcs!M50</f>
        <v>20.904151588907425</v>
      </c>
      <c r="N4" s="37">
        <f>BDbDT_calcs!N50</f>
        <v>20.603778186844071</v>
      </c>
      <c r="O4" s="37">
        <f>BDbDT_calcs!O50</f>
        <v>20.290464856929859</v>
      </c>
      <c r="P4" s="37">
        <f>BDbDT_calcs!P50</f>
        <v>19.973397544212038</v>
      </c>
      <c r="Q4" s="37">
        <f>BDbDT_calcs!Q50</f>
        <v>19.650214727295797</v>
      </c>
      <c r="R4" s="37">
        <f>BDbDT_calcs!R50</f>
        <v>19.320823142283878</v>
      </c>
      <c r="S4" s="37">
        <f>BDbDT_calcs!S50</f>
        <v>18.967913164416384</v>
      </c>
      <c r="T4" s="37">
        <f>BDbDT_calcs!T50</f>
        <v>18.620442337666738</v>
      </c>
      <c r="U4" s="37">
        <f>BDbDT_calcs!U50</f>
        <v>18.278089934801919</v>
      </c>
      <c r="V4" s="37">
        <f>BDbDT_calcs!V50</f>
        <v>17.942716044664571</v>
      </c>
      <c r="W4" s="37">
        <f>BDbDT_calcs!W50</f>
        <v>17.618353652871992</v>
      </c>
      <c r="X4" s="37">
        <f>BDbDT_calcs!X50</f>
        <v>17.306772912464421</v>
      </c>
      <c r="Y4" s="37">
        <f>BDbDT_calcs!Y50</f>
        <v>17.003214844282294</v>
      </c>
      <c r="Z4" s="37">
        <f>BDbDT_calcs!Z50</f>
        <v>16.70951095946911</v>
      </c>
      <c r="AA4" s="37">
        <f>BDbDT_calcs!AA50</f>
        <v>16.429663598646595</v>
      </c>
      <c r="AB4" s="37">
        <f>BDbDT_calcs!AB50</f>
        <v>16.158922299135057</v>
      </c>
    </row>
    <row r="5" spans="1:28" x14ac:dyDescent="0.25">
      <c r="A5" s="4" t="s">
        <v>218</v>
      </c>
      <c r="B5" s="37">
        <f>BDbDT_calcs!B51</f>
        <v>1.1441472705212263</v>
      </c>
      <c r="C5" s="37">
        <f>BDbDT_calcs!C51</f>
        <v>1.1203868125439658</v>
      </c>
      <c r="D5" s="37">
        <f>BDbDT_calcs!D51</f>
        <v>1.1044415084900465</v>
      </c>
      <c r="E5" s="37">
        <f>BDbDT_calcs!E51</f>
        <v>1.0881690351610427</v>
      </c>
      <c r="F5" s="37">
        <f>BDbDT_calcs!F51</f>
        <v>1.0715747644491411</v>
      </c>
      <c r="G5" s="37">
        <f>BDbDT_calcs!G51</f>
        <v>1.0551420138372056</v>
      </c>
      <c r="H5" s="37">
        <f>BDbDT_calcs!H51</f>
        <v>1.0381480387105022</v>
      </c>
      <c r="I5" s="37">
        <f>BDbDT_calcs!I51</f>
        <v>1.0167382703066854</v>
      </c>
      <c r="J5" s="37">
        <f>BDbDT_calcs!J51</f>
        <v>0.99569484095933336</v>
      </c>
      <c r="K5" s="37">
        <f>BDbDT_calcs!K51</f>
        <v>0.97497306752612345</v>
      </c>
      <c r="L5" s="37">
        <f>BDbDT_calcs!L51</f>
        <v>0.95504121131651798</v>
      </c>
      <c r="M5" s="37">
        <f>BDbDT_calcs!M51</f>
        <v>0.93612217532077557</v>
      </c>
      <c r="N5" s="37">
        <f>BDbDT_calcs!N51</f>
        <v>0.91749172770924237</v>
      </c>
      <c r="O5" s="37">
        <f>BDbDT_calcs!O51</f>
        <v>0.89984640721148546</v>
      </c>
      <c r="P5" s="37">
        <f>BDbDT_calcs!P51</f>
        <v>0.88246752764694181</v>
      </c>
      <c r="Q5" s="37">
        <f>BDbDT_calcs!Q51</f>
        <v>0.8658110985411609</v>
      </c>
      <c r="R5" s="37">
        <f>BDbDT_calcs!R51</f>
        <v>0.84962907972471469</v>
      </c>
      <c r="S5" s="37">
        <f>BDbDT_calcs!S51</f>
        <v>0.8327234489179246</v>
      </c>
      <c r="T5" s="37">
        <f>BDbDT_calcs!T51</f>
        <v>0.81629907707997729</v>
      </c>
      <c r="U5" s="37">
        <f>BDbDT_calcs!U51</f>
        <v>0.80010899792492296</v>
      </c>
      <c r="V5" s="37">
        <f>BDbDT_calcs!V51</f>
        <v>0.78459356348696085</v>
      </c>
      <c r="W5" s="37">
        <f>BDbDT_calcs!W51</f>
        <v>0.76904767232115834</v>
      </c>
      <c r="X5" s="37">
        <f>BDbDT_calcs!X51</f>
        <v>0.75413786266661875</v>
      </c>
      <c r="Y5" s="37">
        <f>BDbDT_calcs!Y51</f>
        <v>0.74007335385761464</v>
      </c>
      <c r="Z5" s="37">
        <f>BDbDT_calcs!Z51</f>
        <v>0.72615744910744429</v>
      </c>
      <c r="AA5" s="37">
        <f>BDbDT_calcs!AA51</f>
        <v>0.71282546956564719</v>
      </c>
      <c r="AB5" s="37">
        <f>BDbDT_calcs!AB51</f>
        <v>0.69961333829428463</v>
      </c>
    </row>
    <row r="6" spans="1:28" x14ac:dyDescent="0.25">
      <c r="A6" s="4" t="s">
        <v>219</v>
      </c>
      <c r="B6" s="37">
        <f>BDbDT_calcs!B52</f>
        <v>0.59597587998299129</v>
      </c>
      <c r="C6" s="37">
        <f>BDbDT_calcs!C52</f>
        <v>0.59362727389205472</v>
      </c>
      <c r="D6" s="37">
        <f>BDbDT_calcs!D52</f>
        <v>0.59520694271344754</v>
      </c>
      <c r="E6" s="37">
        <f>BDbDT_calcs!E52</f>
        <v>0.59754240925918078</v>
      </c>
      <c r="F6" s="37">
        <f>BDbDT_calcs!F52</f>
        <v>0.59995325207817352</v>
      </c>
      <c r="G6" s="37">
        <f>BDbDT_calcs!G52</f>
        <v>0.60244312417488444</v>
      </c>
      <c r="H6" s="37">
        <f>BDbDT_calcs!H52</f>
        <v>0.60501903061600215</v>
      </c>
      <c r="I6" s="37">
        <f>BDbDT_calcs!I52</f>
        <v>0.60481723776263452</v>
      </c>
      <c r="J6" s="37">
        <f>BDbDT_calcs!J52</f>
        <v>0.60471457581267118</v>
      </c>
      <c r="K6" s="37">
        <f>BDbDT_calcs!K52</f>
        <v>0.60604259528516657</v>
      </c>
      <c r="L6" s="37">
        <f>BDbDT_calcs!L52</f>
        <v>0.60609512609374927</v>
      </c>
      <c r="M6" s="37">
        <f>BDbDT_calcs!M52</f>
        <v>0.60623142533193841</v>
      </c>
      <c r="N6" s="37">
        <f>BDbDT_calcs!N52</f>
        <v>0.60645283357887769</v>
      </c>
      <c r="O6" s="37">
        <f>BDbDT_calcs!O52</f>
        <v>0.60676075747690394</v>
      </c>
      <c r="P6" s="37">
        <f>BDbDT_calcs!P52</f>
        <v>0.60649376964419</v>
      </c>
      <c r="Q6" s="37">
        <f>BDbDT_calcs!Q52</f>
        <v>0.60697792583431676</v>
      </c>
      <c r="R6" s="37">
        <f>BDbDT_calcs!R52</f>
        <v>0.60623240876779638</v>
      </c>
      <c r="S6" s="37">
        <f>BDbDT_calcs!S52</f>
        <v>0.60554140885531571</v>
      </c>
      <c r="T6" s="37">
        <f>BDbDT_calcs!T52</f>
        <v>0.60558502449454632</v>
      </c>
      <c r="U6" s="37">
        <f>BDbDT_calcs!U52</f>
        <v>0.60440239956403696</v>
      </c>
      <c r="V6" s="37">
        <f>BDbDT_calcs!V52</f>
        <v>0.60394188079855737</v>
      </c>
      <c r="W6" s="37">
        <f>BDbDT_calcs!W52</f>
        <v>0.60354336767656624</v>
      </c>
      <c r="X6" s="37">
        <f>BDbDT_calcs!X52</f>
        <v>0.60255669166673009</v>
      </c>
      <c r="Y6" s="37">
        <f>BDbDT_calcs!Y52</f>
        <v>0.6029015330520805</v>
      </c>
      <c r="Z6" s="37">
        <f>BDbDT_calcs!Z52</f>
        <v>0.60200772332919816</v>
      </c>
      <c r="AA6" s="37">
        <f>BDbDT_calcs!AA52</f>
        <v>0.60115036574503944</v>
      </c>
      <c r="AB6" s="37">
        <f>BDbDT_calcs!AB52</f>
        <v>0.60032133257352405</v>
      </c>
    </row>
    <row r="7" spans="1:28" x14ac:dyDescent="0.25">
      <c r="A7" s="4" t="s">
        <v>220</v>
      </c>
      <c r="B7" s="37">
        <f>BDbDT_calcs!B53</f>
        <v>1.6625286303400186</v>
      </c>
      <c r="C7" s="37">
        <f>BDbDT_calcs!C53</f>
        <v>1.6643594404276114</v>
      </c>
      <c r="D7" s="37">
        <f>BDbDT_calcs!D53</f>
        <v>1.6738762945279253</v>
      </c>
      <c r="E7" s="37">
        <f>BDbDT_calcs!E53</f>
        <v>1.6857526997304335</v>
      </c>
      <c r="F7" s="37">
        <f>BDbDT_calcs!F53</f>
        <v>1.696750308525665</v>
      </c>
      <c r="G7" s="37">
        <f>BDbDT_calcs!G53</f>
        <v>1.7057985029548226</v>
      </c>
      <c r="H7" s="37">
        <f>BDbDT_calcs!H53</f>
        <v>1.7194254243403302</v>
      </c>
      <c r="I7" s="37">
        <f>BDbDT_calcs!I53</f>
        <v>1.7208105394134021</v>
      </c>
      <c r="J7" s="37">
        <f>BDbDT_calcs!J53</f>
        <v>1.7235329829725072</v>
      </c>
      <c r="K7" s="37">
        <f>BDbDT_calcs!K53</f>
        <v>1.7232471666043729</v>
      </c>
      <c r="L7" s="37">
        <f>BDbDT_calcs!L53</f>
        <v>1.7242603619128605</v>
      </c>
      <c r="M7" s="37">
        <f>BDbDT_calcs!M53</f>
        <v>1.7223248220846308</v>
      </c>
      <c r="N7" s="37">
        <f>BDbDT_calcs!N53</f>
        <v>1.7227613907713597</v>
      </c>
      <c r="O7" s="37">
        <f>BDbDT_calcs!O53</f>
        <v>1.7213422004407488</v>
      </c>
      <c r="P7" s="37">
        <f>BDbDT_calcs!P53</f>
        <v>1.7180925219171577</v>
      </c>
      <c r="Q7" s="37">
        <f>BDbDT_calcs!Q53</f>
        <v>1.7130320176513723</v>
      </c>
      <c r="R7" s="37">
        <f>BDbDT_calcs!R53</f>
        <v>1.7082570070029048</v>
      </c>
      <c r="S7" s="37">
        <f>BDbDT_calcs!S53</f>
        <v>1.7007759119594541</v>
      </c>
      <c r="T7" s="37">
        <f>BDbDT_calcs!T53</f>
        <v>1.6894492086095836</v>
      </c>
      <c r="U7" s="37">
        <f>BDbDT_calcs!U53</f>
        <v>1.6804733423758604</v>
      </c>
      <c r="V7" s="37">
        <f>BDbDT_calcs!V53</f>
        <v>1.6697069491283059</v>
      </c>
      <c r="W7" s="37">
        <f>BDbDT_calcs!W53</f>
        <v>1.6591861768846941</v>
      </c>
      <c r="X7" s="37">
        <f>BDbDT_calcs!X53</f>
        <v>1.6509149190004055</v>
      </c>
      <c r="Y7" s="37">
        <f>BDbDT_calcs!Y53</f>
        <v>1.6397949312559843</v>
      </c>
      <c r="Z7" s="37">
        <f>BDbDT_calcs!Z53</f>
        <v>1.6318826781520241</v>
      </c>
      <c r="AA7" s="37">
        <f>BDbDT_calcs!AA53</f>
        <v>1.6210951124196853</v>
      </c>
      <c r="AB7" s="37">
        <f>BDbDT_calcs!AB53</f>
        <v>1.613445985448019</v>
      </c>
    </row>
    <row r="8" spans="1:28" x14ac:dyDescent="0.25">
      <c r="A8" s="4" t="s">
        <v>221</v>
      </c>
      <c r="B8" s="37">
        <f>BDbDT_calcs!B54</f>
        <v>1.0148181193804882</v>
      </c>
      <c r="C8" s="37">
        <f>BDbDT_calcs!C54</f>
        <v>1.0115051915680733</v>
      </c>
      <c r="D8" s="37">
        <f>BDbDT_calcs!D54</f>
        <v>1.0154042370725507</v>
      </c>
      <c r="E8" s="37">
        <f>BDbDT_calcs!E54</f>
        <v>1.0196823442399956</v>
      </c>
      <c r="F8" s="37">
        <f>BDbDT_calcs!F54</f>
        <v>1.0248738579897236</v>
      </c>
      <c r="G8" s="37">
        <f>BDbDT_calcs!G54</f>
        <v>1.0291529094224074</v>
      </c>
      <c r="H8" s="37">
        <f>BDbDT_calcs!H54</f>
        <v>1.0333173823599842</v>
      </c>
      <c r="I8" s="37">
        <f>BDbDT_calcs!I54</f>
        <v>1.0324787325500184</v>
      </c>
      <c r="J8" s="37">
        <f>BDbDT_calcs!J54</f>
        <v>1.0312958828048819</v>
      </c>
      <c r="K8" s="37">
        <f>BDbDT_calcs!K54</f>
        <v>1.0297419132915169</v>
      </c>
      <c r="L8" s="37">
        <f>BDbDT_calcs!L54</f>
        <v>1.0275700994893617</v>
      </c>
      <c r="M8" s="37">
        <f>BDbDT_calcs!M54</f>
        <v>1.0247925333239556</v>
      </c>
      <c r="N8" s="37">
        <f>BDbDT_calcs!N54</f>
        <v>1.0214195874521257</v>
      </c>
      <c r="O8" s="37">
        <f>BDbDT_calcs!O54</f>
        <v>1.0174609331560187</v>
      </c>
      <c r="P8" s="37">
        <f>BDbDT_calcs!P54</f>
        <v>1.0121660454026964</v>
      </c>
      <c r="Q8" s="37">
        <f>BDbDT_calcs!Q54</f>
        <v>1.0063033605758667</v>
      </c>
      <c r="R8" s="37">
        <f>BDbDT_calcs!R54</f>
        <v>0.99912259332630893</v>
      </c>
      <c r="S8" s="37">
        <f>BDbDT_calcs!S54</f>
        <v>0.99099895758266088</v>
      </c>
      <c r="T8" s="37">
        <f>BDbDT_calcs!T54</f>
        <v>0.98207558183877186</v>
      </c>
      <c r="U8" s="37">
        <f>BDbDT_calcs!U54</f>
        <v>0.97235280461135665</v>
      </c>
      <c r="V8" s="37">
        <f>BDbDT_calcs!V54</f>
        <v>0.9628144393964716</v>
      </c>
      <c r="W8" s="37">
        <f>BDbDT_calcs!W54</f>
        <v>0.95221443650946513</v>
      </c>
      <c r="X8" s="37">
        <f>BDbDT_calcs!X54</f>
        <v>0.94299941796547559</v>
      </c>
      <c r="Y8" s="37">
        <f>BDbDT_calcs!Y54</f>
        <v>0.93367995416037786</v>
      </c>
      <c r="Z8" s="37">
        <f>BDbDT_calcs!Z54</f>
        <v>0.92448685532819941</v>
      </c>
      <c r="AA8" s="37">
        <f>BDbDT_calcs!AA54</f>
        <v>0.91564768593479562</v>
      </c>
      <c r="AB8" s="37">
        <f>BDbDT_calcs!AB54</f>
        <v>0.90738733517440551</v>
      </c>
    </row>
    <row r="9" spans="1:28" x14ac:dyDescent="0.25">
      <c r="A9" s="4" t="s">
        <v>222</v>
      </c>
      <c r="B9" s="37">
        <f>BDbDT_calcs!B55</f>
        <v>30.373576206430801</v>
      </c>
      <c r="C9" s="37">
        <f>BDbDT_calcs!C55</f>
        <v>29.85366277133641</v>
      </c>
      <c r="D9" s="37">
        <f>BDbDT_calcs!D55</f>
        <v>29.527686260214043</v>
      </c>
      <c r="E9" s="37">
        <f>BDbDT_calcs!E55</f>
        <v>29.201169419038788</v>
      </c>
      <c r="F9" s="37">
        <f>BDbDT_calcs!F55</f>
        <v>28.862774182872755</v>
      </c>
      <c r="G9" s="37">
        <f>BDbDT_calcs!G55</f>
        <v>28.533224330224289</v>
      </c>
      <c r="H9" s="37">
        <f>BDbDT_calcs!H55</f>
        <v>28.20345994725707</v>
      </c>
      <c r="I9" s="37">
        <f>BDbDT_calcs!I55</f>
        <v>27.744222713780228</v>
      </c>
      <c r="J9" s="37">
        <f>BDbDT_calcs!J55</f>
        <v>27.289241654388459</v>
      </c>
      <c r="K9" s="37">
        <f>BDbDT_calcs!K55</f>
        <v>26.835159908449064</v>
      </c>
      <c r="L9" s="37">
        <f>BDbDT_calcs!L55</f>
        <v>26.386449776979468</v>
      </c>
      <c r="M9" s="37">
        <f>BDbDT_calcs!M55</f>
        <v>25.940737378813097</v>
      </c>
      <c r="N9" s="37">
        <f>BDbDT_calcs!N55</f>
        <v>25.502376649933929</v>
      </c>
      <c r="O9" s="37">
        <f>BDbDT_calcs!O55</f>
        <v>25.062267100705157</v>
      </c>
      <c r="P9" s="37">
        <f>BDbDT_calcs!P55</f>
        <v>24.626967220165049</v>
      </c>
      <c r="Q9" s="37">
        <f>BDbDT_calcs!Q55</f>
        <v>24.196242547018457</v>
      </c>
      <c r="R9" s="37">
        <f>BDbDT_calcs!R55</f>
        <v>23.772042047267675</v>
      </c>
      <c r="S9" s="37">
        <f>BDbDT_calcs!S55</f>
        <v>23.320782246456179</v>
      </c>
      <c r="T9" s="37">
        <f>BDbDT_calcs!T55</f>
        <v>22.880734766347032</v>
      </c>
      <c r="U9" s="37">
        <f>BDbDT_calcs!U55</f>
        <v>22.455801122386106</v>
      </c>
      <c r="V9" s="37">
        <f>BDbDT_calcs!V55</f>
        <v>22.041080434072676</v>
      </c>
      <c r="W9" s="37">
        <f>BDbDT_calcs!W55</f>
        <v>21.646865735309934</v>
      </c>
      <c r="X9" s="37">
        <f>BDbDT_calcs!X55</f>
        <v>21.26176847077328</v>
      </c>
      <c r="Y9" s="37">
        <f>BDbDT_calcs!Y55</f>
        <v>20.891863372703494</v>
      </c>
      <c r="Z9" s="37">
        <f>BDbDT_calcs!Z55</f>
        <v>20.534508965793737</v>
      </c>
      <c r="AA9" s="37">
        <f>BDbDT_calcs!AA55</f>
        <v>20.187115676999323</v>
      </c>
      <c r="AB9" s="37">
        <f>BDbDT_calcs!AB55</f>
        <v>19.851397751676302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2870.0939406515299</v>
      </c>
      <c r="C2" s="37">
        <f>BDbDT_calcs!C58</f>
        <v>2900.7492732038418</v>
      </c>
      <c r="D2" s="37">
        <f>BDbDT_calcs!D58</f>
        <v>2949.8253248269771</v>
      </c>
      <c r="E2" s="37">
        <f>BDbDT_calcs!E58</f>
        <v>2998.9757666887831</v>
      </c>
      <c r="F2" s="37">
        <f>BDbDT_calcs!F58</f>
        <v>3048.4599458672647</v>
      </c>
      <c r="G2" s="37">
        <f>BDbDT_calcs!G58</f>
        <v>3098.3703398471002</v>
      </c>
      <c r="H2" s="37">
        <f>BDbDT_calcs!H58</f>
        <v>3148.4976046222491</v>
      </c>
      <c r="I2" s="37">
        <f>BDbDT_calcs!I58</f>
        <v>3183.5443874411153</v>
      </c>
      <c r="J2" s="37">
        <f>BDbDT_calcs!J58</f>
        <v>3217.8259990219181</v>
      </c>
      <c r="K2" s="37">
        <f>BDbDT_calcs!K58</f>
        <v>3251.2975006650809</v>
      </c>
      <c r="L2" s="37">
        <f>BDbDT_calcs!L58</f>
        <v>3283.6961572893551</v>
      </c>
      <c r="M2" s="37">
        <f>BDbDT_calcs!M58</f>
        <v>3314.981155525174</v>
      </c>
      <c r="N2" s="37">
        <f>BDbDT_calcs!N58</f>
        <v>3344.8289986081591</v>
      </c>
      <c r="O2" s="37">
        <f>BDbDT_calcs!O58</f>
        <v>3373.1313024291953</v>
      </c>
      <c r="P2" s="37">
        <f>BDbDT_calcs!P58</f>
        <v>3399.4744192389203</v>
      </c>
      <c r="Q2" s="37">
        <f>BDbDT_calcs!Q58</f>
        <v>3423.8107774031059</v>
      </c>
      <c r="R2" s="37">
        <f>BDbDT_calcs!R58</f>
        <v>3445.6434784763915</v>
      </c>
      <c r="S2" s="37">
        <f>BDbDT_calcs!S58</f>
        <v>3461.0673522489287</v>
      </c>
      <c r="T2" s="37">
        <f>BDbDT_calcs!T58</f>
        <v>3473.8363866804843</v>
      </c>
      <c r="U2" s="37">
        <f>BDbDT_calcs!U58</f>
        <v>3484.1608924750044</v>
      </c>
      <c r="V2" s="37">
        <f>BDbDT_calcs!V58</f>
        <v>3491.2270540127161</v>
      </c>
      <c r="W2" s="37">
        <f>BDbDT_calcs!W58</f>
        <v>3495.2665265049009</v>
      </c>
      <c r="X2" s="37">
        <f>BDbDT_calcs!X58</f>
        <v>3496.1106561961333</v>
      </c>
      <c r="Y2" s="37">
        <f>BDbDT_calcs!Y58</f>
        <v>3495.2212376146817</v>
      </c>
      <c r="Z2" s="37">
        <f>BDbDT_calcs!Z58</f>
        <v>3491.335054952619</v>
      </c>
      <c r="AA2" s="37">
        <f>BDbDT_calcs!AA58</f>
        <v>3484.6861827668076</v>
      </c>
      <c r="AB2" s="37">
        <f>BDbDT_calcs!AB58</f>
        <v>3475.6067330468336</v>
      </c>
    </row>
    <row r="3" spans="1:28" x14ac:dyDescent="0.25">
      <c r="A3" s="4" t="s">
        <v>216</v>
      </c>
      <c r="B3" s="37">
        <f>BDbDT_calcs!B59</f>
        <v>2691.9392520543497</v>
      </c>
      <c r="C3" s="37">
        <f>BDbDT_calcs!C59</f>
        <v>2713.6449006948105</v>
      </c>
      <c r="D3" s="37">
        <f>BDbDT_calcs!D59</f>
        <v>2752.8361512121905</v>
      </c>
      <c r="E3" s="37">
        <f>BDbDT_calcs!E59</f>
        <v>2793.5200254407755</v>
      </c>
      <c r="F3" s="37">
        <f>BDbDT_calcs!F59</f>
        <v>2836.489311922634</v>
      </c>
      <c r="G3" s="37">
        <f>BDbDT_calcs!G59</f>
        <v>2881.8979776859283</v>
      </c>
      <c r="H3" s="37">
        <f>BDbDT_calcs!H59</f>
        <v>2930.017050270354</v>
      </c>
      <c r="I3" s="37">
        <f>BDbDT_calcs!I59</f>
        <v>2966.491199531883</v>
      </c>
      <c r="J3" s="37">
        <f>BDbDT_calcs!J59</f>
        <v>3004.880830376027</v>
      </c>
      <c r="K3" s="37">
        <f>BDbDT_calcs!K59</f>
        <v>3044.401729653443</v>
      </c>
      <c r="L3" s="37">
        <f>BDbDT_calcs!L59</f>
        <v>3084.9813836604781</v>
      </c>
      <c r="M3" s="37">
        <f>BDbDT_calcs!M59</f>
        <v>3126.4237583409208</v>
      </c>
      <c r="N3" s="37">
        <f>BDbDT_calcs!N59</f>
        <v>3168.0573025751264</v>
      </c>
      <c r="O3" s="37">
        <f>BDbDT_calcs!O59</f>
        <v>3209.251808879364</v>
      </c>
      <c r="P3" s="37">
        <f>BDbDT_calcs!P59</f>
        <v>3249.8751666823177</v>
      </c>
      <c r="Q3" s="37">
        <f>BDbDT_calcs!Q59</f>
        <v>3289.0437658766614</v>
      </c>
      <c r="R3" s="37">
        <f>BDbDT_calcs!R59</f>
        <v>3326.5250436422925</v>
      </c>
      <c r="S3" s="37">
        <f>BDbDT_calcs!S59</f>
        <v>3357.8926320411629</v>
      </c>
      <c r="T3" s="37">
        <f>BDbDT_calcs!T59</f>
        <v>3386.6885637838504</v>
      </c>
      <c r="U3" s="37">
        <f>BDbDT_calcs!U59</f>
        <v>3412.6277632722577</v>
      </c>
      <c r="V3" s="37">
        <f>BDbDT_calcs!V59</f>
        <v>3434.9683095188689</v>
      </c>
      <c r="W3" s="37">
        <f>BDbDT_calcs!W59</f>
        <v>3453.0542027579859</v>
      </c>
      <c r="X3" s="37">
        <f>BDbDT_calcs!X59</f>
        <v>3467.1058441711048</v>
      </c>
      <c r="Y3" s="37">
        <f>BDbDT_calcs!Y59</f>
        <v>3478.7671741362274</v>
      </c>
      <c r="Z3" s="37">
        <f>BDbDT_calcs!Z59</f>
        <v>3486.5630131859548</v>
      </c>
      <c r="AA3" s="37">
        <f>BDbDT_calcs!AA59</f>
        <v>3489.986717879669</v>
      </c>
      <c r="AB3" s="37">
        <f>BDbDT_calcs!AB59</f>
        <v>3489.1301955214062</v>
      </c>
    </row>
    <row r="4" spans="1:28" x14ac:dyDescent="0.25">
      <c r="A4" s="4" t="s">
        <v>217</v>
      </c>
      <c r="B4" s="37">
        <f>BDbDT_calcs!B60</f>
        <v>5588.4047734840424</v>
      </c>
      <c r="C4" s="37">
        <f>BDbDT_calcs!C60</f>
        <v>5639.8671306492406</v>
      </c>
      <c r="D4" s="37">
        <f>BDbDT_calcs!D60</f>
        <v>5726.9439166203829</v>
      </c>
      <c r="E4" s="37">
        <f>BDbDT_calcs!E60</f>
        <v>5815.054645770927</v>
      </c>
      <c r="F4" s="37">
        <f>BDbDT_calcs!F60</f>
        <v>5905.3975318319963</v>
      </c>
      <c r="G4" s="37">
        <f>BDbDT_calcs!G60</f>
        <v>5998.0065725598542</v>
      </c>
      <c r="H4" s="37">
        <f>BDbDT_calcs!H60</f>
        <v>6093.1124466735228</v>
      </c>
      <c r="I4" s="37">
        <f>BDbDT_calcs!I60</f>
        <v>6160.8839320118577</v>
      </c>
      <c r="J4" s="37">
        <f>BDbDT_calcs!J60</f>
        <v>6229.3680630171957</v>
      </c>
      <c r="K4" s="37">
        <f>BDbDT_calcs!K60</f>
        <v>6297.4665715832562</v>
      </c>
      <c r="L4" s="37">
        <f>BDbDT_calcs!L60</f>
        <v>6364.8591074664118</v>
      </c>
      <c r="M4" s="37">
        <f>BDbDT_calcs!M60</f>
        <v>6431.3153088864601</v>
      </c>
      <c r="N4" s="37">
        <f>BDbDT_calcs!N60</f>
        <v>6495.6909033600987</v>
      </c>
      <c r="O4" s="37">
        <f>BDbDT_calcs!O60</f>
        <v>6557.3724106561349</v>
      </c>
      <c r="P4" s="37">
        <f>BDbDT_calcs!P60</f>
        <v>6615.552294944092</v>
      </c>
      <c r="Q4" s="37">
        <f>BDbDT_calcs!Q60</f>
        <v>6669.3846741911611</v>
      </c>
      <c r="R4" s="37">
        <f>BDbDT_calcs!R60</f>
        <v>6718.0666939950288</v>
      </c>
      <c r="S4" s="37">
        <f>BDbDT_calcs!S60</f>
        <v>6753.3459036473005</v>
      </c>
      <c r="T4" s="37">
        <f>BDbDT_calcs!T60</f>
        <v>6782.512959367974</v>
      </c>
      <c r="U4" s="37">
        <f>BDbDT_calcs!U60</f>
        <v>6805.611463802622</v>
      </c>
      <c r="V4" s="37">
        <f>BDbDT_calcs!V60</f>
        <v>6820.8844210148845</v>
      </c>
      <c r="W4" s="37">
        <f>BDbDT_calcs!W60</f>
        <v>6827.8840358380858</v>
      </c>
      <c r="X4" s="37">
        <f>BDbDT_calcs!X60</f>
        <v>6826.8202283076926</v>
      </c>
      <c r="Y4" s="37">
        <f>BDbDT_calcs!Y60</f>
        <v>6821.2287137870771</v>
      </c>
      <c r="Z4" s="37">
        <f>BDbDT_calcs!Z60</f>
        <v>6808.0923415532643</v>
      </c>
      <c r="AA4" s="37">
        <f>BDbDT_calcs!AA60</f>
        <v>6787.0448419913319</v>
      </c>
      <c r="AB4" s="37">
        <f>BDbDT_calcs!AB60</f>
        <v>6758.7192497706892</v>
      </c>
    </row>
    <row r="5" spans="1:28" x14ac:dyDescent="0.25">
      <c r="A5" s="4" t="s">
        <v>218</v>
      </c>
      <c r="B5" s="37">
        <f>BDbDT_calcs!B61</f>
        <v>88.455938102990345</v>
      </c>
      <c r="C5" s="37">
        <f>BDbDT_calcs!C61</f>
        <v>89.125981933074911</v>
      </c>
      <c r="D5" s="37">
        <f>BDbDT_calcs!D61</f>
        <v>90.374510469818944</v>
      </c>
      <c r="E5" s="37">
        <f>BDbDT_calcs!E61</f>
        <v>91.63575922893358</v>
      </c>
      <c r="F5" s="37">
        <f>BDbDT_calcs!F61</f>
        <v>92.939910657680699</v>
      </c>
      <c r="G5" s="37">
        <f>BDbDT_calcs!G61</f>
        <v>94.289786144027971</v>
      </c>
      <c r="H5" s="37">
        <f>BDbDT_calcs!H61</f>
        <v>95.683451252549531</v>
      </c>
      <c r="I5" s="37">
        <f>BDbDT_calcs!I61</f>
        <v>96.666511516027811</v>
      </c>
      <c r="J5" s="37">
        <f>BDbDT_calcs!J61</f>
        <v>97.681932532062689</v>
      </c>
      <c r="K5" s="37">
        <f>BDbDT_calcs!K61</f>
        <v>98.723423715103564</v>
      </c>
      <c r="L5" s="37">
        <f>BDbDT_calcs!L61</f>
        <v>99.791110501314492</v>
      </c>
      <c r="M5" s="37">
        <f>BDbDT_calcs!M61</f>
        <v>100.87988665805085</v>
      </c>
      <c r="N5" s="37">
        <f>BDbDT_calcs!N61</f>
        <v>101.9945756429621</v>
      </c>
      <c r="O5" s="37">
        <f>BDbDT_calcs!O61</f>
        <v>103.10943596954738</v>
      </c>
      <c r="P5" s="37">
        <f>BDbDT_calcs!P61</f>
        <v>104.2359788276588</v>
      </c>
      <c r="Q5" s="37">
        <f>BDbDT_calcs!Q61</f>
        <v>105.3531719731325</v>
      </c>
      <c r="R5" s="37">
        <f>BDbDT_calcs!R61</f>
        <v>106.45873278608092</v>
      </c>
      <c r="S5" s="37">
        <f>BDbDT_calcs!S61</f>
        <v>107.43034608110888</v>
      </c>
      <c r="T5" s="37">
        <f>BDbDT_calcs!T61</f>
        <v>108.36761813821077</v>
      </c>
      <c r="U5" s="37">
        <f>BDbDT_calcs!U61</f>
        <v>109.27245486769212</v>
      </c>
      <c r="V5" s="37">
        <f>BDbDT_calcs!V61</f>
        <v>110.13235207727601</v>
      </c>
      <c r="W5" s="37">
        <f>BDbDT_calcs!W61</f>
        <v>110.9272177632199</v>
      </c>
      <c r="X5" s="37">
        <f>BDbDT_calcs!X61</f>
        <v>111.65004254573674</v>
      </c>
      <c r="Y5" s="37">
        <f>BDbDT_calcs!Y61</f>
        <v>112.32939993246181</v>
      </c>
      <c r="Z5" s="37">
        <f>BDbDT_calcs!Z61</f>
        <v>112.93459057927397</v>
      </c>
      <c r="AA5" s="37">
        <f>BDbDT_calcs!AA61</f>
        <v>113.46508197321805</v>
      </c>
      <c r="AB5" s="37">
        <f>BDbDT_calcs!AB61</f>
        <v>113.90956851806179</v>
      </c>
    </row>
    <row r="6" spans="1:28" x14ac:dyDescent="0.25">
      <c r="A6" s="4" t="s">
        <v>219</v>
      </c>
      <c r="B6" s="37">
        <f>BDbDT_calcs!B62</f>
        <v>84.345469109834411</v>
      </c>
      <c r="C6" s="37">
        <f>BDbDT_calcs!C62</f>
        <v>85.69257043329263</v>
      </c>
      <c r="D6" s="37">
        <f>BDbDT_calcs!D62</f>
        <v>87.652632101231333</v>
      </c>
      <c r="E6" s="37">
        <f>BDbDT_calcs!E62</f>
        <v>89.748674536963591</v>
      </c>
      <c r="F6" s="37">
        <f>BDbDT_calcs!F62</f>
        <v>92.007459416989647</v>
      </c>
      <c r="G6" s="37">
        <f>BDbDT_calcs!G62</f>
        <v>94.427990758041958</v>
      </c>
      <c r="H6" s="37">
        <f>BDbDT_calcs!H62</f>
        <v>97.017508043048238</v>
      </c>
      <c r="I6" s="37">
        <f>BDbDT_calcs!I62</f>
        <v>99.306626483102974</v>
      </c>
      <c r="J6" s="37">
        <f>BDbDT_calcs!J62</f>
        <v>101.69249515316207</v>
      </c>
      <c r="K6" s="37">
        <f>BDbDT_calcs!K62</f>
        <v>104.15419665994504</v>
      </c>
      <c r="L6" s="37">
        <f>BDbDT_calcs!L62</f>
        <v>106.71781252929043</v>
      </c>
      <c r="M6" s="37">
        <f>BDbDT_calcs!M62</f>
        <v>109.36213952294688</v>
      </c>
      <c r="N6" s="37">
        <f>BDbDT_calcs!N62</f>
        <v>112.07301737724333</v>
      </c>
      <c r="O6" s="37">
        <f>BDbDT_calcs!O62</f>
        <v>114.83063636600419</v>
      </c>
      <c r="P6" s="37">
        <f>BDbDT_calcs!P62</f>
        <v>117.62469942255461</v>
      </c>
      <c r="Q6" s="37">
        <f>BDbDT_calcs!Q62</f>
        <v>120.43299734752394</v>
      </c>
      <c r="R6" s="37">
        <f>BDbDT_calcs!R62</f>
        <v>123.24468163451951</v>
      </c>
      <c r="S6" s="37">
        <f>BDbDT_calcs!S62</f>
        <v>125.8950047781443</v>
      </c>
      <c r="T6" s="37">
        <f>BDbDT_calcs!T62</f>
        <v>128.52352486479413</v>
      </c>
      <c r="U6" s="37">
        <f>BDbDT_calcs!U62</f>
        <v>131.10273574904298</v>
      </c>
      <c r="V6" s="37">
        <f>BDbDT_calcs!V62</f>
        <v>133.63733666650822</v>
      </c>
      <c r="W6" s="37">
        <f>BDbDT_calcs!W62</f>
        <v>136.1186751663636</v>
      </c>
      <c r="X6" s="37">
        <f>BDbDT_calcs!X62</f>
        <v>138.55852086416084</v>
      </c>
      <c r="Y6" s="37">
        <f>BDbDT_calcs!Y62</f>
        <v>140.94789318352332</v>
      </c>
      <c r="Z6" s="37">
        <f>BDbDT_calcs!Z62</f>
        <v>143.29121610175648</v>
      </c>
      <c r="AA6" s="37">
        <f>BDbDT_calcs!AA62</f>
        <v>145.58693836514897</v>
      </c>
      <c r="AB6" s="37">
        <f>BDbDT_calcs!AB62</f>
        <v>147.82454191897935</v>
      </c>
    </row>
    <row r="7" spans="1:28" x14ac:dyDescent="0.25">
      <c r="A7" s="4" t="s">
        <v>220</v>
      </c>
      <c r="B7" s="37">
        <f>BDbDT_calcs!B63</f>
        <v>73.305684331059581</v>
      </c>
      <c r="C7" s="37">
        <f>BDbDT_calcs!C63</f>
        <v>74.372189678624537</v>
      </c>
      <c r="D7" s="37">
        <f>BDbDT_calcs!D63</f>
        <v>75.982687007477537</v>
      </c>
      <c r="E7" s="37">
        <f>BDbDT_calcs!E63</f>
        <v>77.740010849513325</v>
      </c>
      <c r="F7" s="37">
        <f>BDbDT_calcs!F63</f>
        <v>79.51618533464746</v>
      </c>
      <c r="G7" s="37">
        <f>BDbDT_calcs!G63</f>
        <v>81.425039029158185</v>
      </c>
      <c r="H7" s="37">
        <f>BDbDT_calcs!H63</f>
        <v>83.39321720750749</v>
      </c>
      <c r="I7" s="37">
        <f>BDbDT_calcs!I63</f>
        <v>85.001567378535242</v>
      </c>
      <c r="J7" s="37">
        <f>BDbDT_calcs!J63</f>
        <v>86.641627205713903</v>
      </c>
      <c r="K7" s="37">
        <f>BDbDT_calcs!K63</f>
        <v>88.406214287230171</v>
      </c>
      <c r="L7" s="37">
        <f>BDbDT_calcs!L63</f>
        <v>90.209683317237349</v>
      </c>
      <c r="M7" s="37">
        <f>BDbDT_calcs!M63</f>
        <v>92.079194611338082</v>
      </c>
      <c r="N7" s="37">
        <f>BDbDT_calcs!N63</f>
        <v>93.973889271224721</v>
      </c>
      <c r="O7" s="37">
        <f>BDbDT_calcs!O63</f>
        <v>95.900947687597551</v>
      </c>
      <c r="P7" s="37">
        <f>BDbDT_calcs!P63</f>
        <v>97.885178584055808</v>
      </c>
      <c r="Q7" s="37">
        <f>BDbDT_calcs!Q63</f>
        <v>99.913297058774006</v>
      </c>
      <c r="R7" s="37">
        <f>BDbDT_calcs!R63</f>
        <v>101.96588155503149</v>
      </c>
      <c r="S7" s="37">
        <f>BDbDT_calcs!S63</f>
        <v>103.89337776934781</v>
      </c>
      <c r="T7" s="37">
        <f>BDbDT_calcs!T63</f>
        <v>105.83811388368279</v>
      </c>
      <c r="U7" s="37">
        <f>BDbDT_calcs!U63</f>
        <v>107.77216569809002</v>
      </c>
      <c r="V7" s="37">
        <f>BDbDT_calcs!V63</f>
        <v>109.66455175439023</v>
      </c>
      <c r="W7" s="37">
        <f>BDbDT_calcs!W63</f>
        <v>111.58230870775229</v>
      </c>
      <c r="X7" s="37">
        <f>BDbDT_calcs!X63</f>
        <v>113.47146398066812</v>
      </c>
      <c r="Y7" s="37">
        <f>BDbDT_calcs!Y63</f>
        <v>115.36427732899134</v>
      </c>
      <c r="Z7" s="37">
        <f>BDbDT_calcs!Z63</f>
        <v>117.21634868744722</v>
      </c>
      <c r="AA7" s="37">
        <f>BDbDT_calcs!AA63</f>
        <v>119.04502918490135</v>
      </c>
      <c r="AB7" s="37">
        <f>BDbDT_calcs!AB63</f>
        <v>120.8683233267387</v>
      </c>
    </row>
    <row r="8" spans="1:28" x14ac:dyDescent="0.25">
      <c r="A8" s="4" t="s">
        <v>221</v>
      </c>
      <c r="B8" s="37">
        <f>BDbDT_calcs!B64</f>
        <v>66.075465627666304</v>
      </c>
      <c r="C8" s="37">
        <f>BDbDT_calcs!C64</f>
        <v>67.899351216929801</v>
      </c>
      <c r="D8" s="37">
        <f>BDbDT_calcs!D64</f>
        <v>70.199677135232278</v>
      </c>
      <c r="E8" s="37">
        <f>BDbDT_calcs!E64</f>
        <v>72.559799562105127</v>
      </c>
      <c r="F8" s="37">
        <f>BDbDT_calcs!F64</f>
        <v>74.980933462767581</v>
      </c>
      <c r="G8" s="37">
        <f>BDbDT_calcs!G64</f>
        <v>77.472663753937312</v>
      </c>
      <c r="H8" s="37">
        <f>BDbDT_calcs!H64</f>
        <v>80.060782183098127</v>
      </c>
      <c r="I8" s="37">
        <f>BDbDT_calcs!I64</f>
        <v>82.35572986723902</v>
      </c>
      <c r="J8" s="37">
        <f>BDbDT_calcs!J64</f>
        <v>84.704597482041976</v>
      </c>
      <c r="K8" s="37">
        <f>BDbDT_calcs!K64</f>
        <v>87.126532913025912</v>
      </c>
      <c r="L8" s="37">
        <f>BDbDT_calcs!L64</f>
        <v>89.635848723522528</v>
      </c>
      <c r="M8" s="37">
        <f>BDbDT_calcs!M64</f>
        <v>92.210105998091663</v>
      </c>
      <c r="N8" s="37">
        <f>BDbDT_calcs!N64</f>
        <v>94.872843281781769</v>
      </c>
      <c r="O8" s="37">
        <f>BDbDT_calcs!O64</f>
        <v>97.607759318217873</v>
      </c>
      <c r="P8" s="37">
        <f>BDbDT_calcs!P64</f>
        <v>100.41015713680396</v>
      </c>
      <c r="Q8" s="37">
        <f>BDbDT_calcs!Q64</f>
        <v>103.28409602098719</v>
      </c>
      <c r="R8" s="37">
        <f>BDbDT_calcs!R64</f>
        <v>106.20841318813882</v>
      </c>
      <c r="S8" s="37">
        <f>BDbDT_calcs!S64</f>
        <v>109.05786107787884</v>
      </c>
      <c r="T8" s="37">
        <f>BDbDT_calcs!T64</f>
        <v>111.94765896429287</v>
      </c>
      <c r="U8" s="37">
        <f>BDbDT_calcs!U64</f>
        <v>114.8699541851346</v>
      </c>
      <c r="V8" s="37">
        <f>BDbDT_calcs!V64</f>
        <v>117.80914551551962</v>
      </c>
      <c r="W8" s="37">
        <f>BDbDT_calcs!W64</f>
        <v>120.74880557409169</v>
      </c>
      <c r="X8" s="37">
        <f>BDbDT_calcs!X64</f>
        <v>123.70339845345235</v>
      </c>
      <c r="Y8" s="37">
        <f>BDbDT_calcs!Y64</f>
        <v>126.64785333258595</v>
      </c>
      <c r="Z8" s="37">
        <f>BDbDT_calcs!Z64</f>
        <v>129.58037667688833</v>
      </c>
      <c r="AA8" s="37">
        <f>BDbDT_calcs!AA64</f>
        <v>132.47185596280627</v>
      </c>
      <c r="AB8" s="37">
        <f>BDbDT_calcs!AB64</f>
        <v>135.31878436379117</v>
      </c>
    </row>
    <row r="9" spans="1:28" x14ac:dyDescent="0.25">
      <c r="A9" s="4" t="s">
        <v>222</v>
      </c>
      <c r="B9" s="37">
        <f>BDbDT_calcs!B65</f>
        <v>6143.8677477387091</v>
      </c>
      <c r="C9" s="37">
        <f>BDbDT_calcs!C65</f>
        <v>6191.1298831233362</v>
      </c>
      <c r="D9" s="37">
        <f>BDbDT_calcs!D65</f>
        <v>6277.6160528755736</v>
      </c>
      <c r="E9" s="37">
        <f>BDbDT_calcs!E65</f>
        <v>6365.472707035713</v>
      </c>
      <c r="F9" s="37">
        <f>BDbDT_calcs!F65</f>
        <v>6455.9619056835591</v>
      </c>
      <c r="G9" s="37">
        <f>BDbDT_calcs!G65</f>
        <v>6549.2974138861537</v>
      </c>
      <c r="H9" s="37">
        <f>BDbDT_calcs!H65</f>
        <v>6645.3275650155801</v>
      </c>
      <c r="I9" s="37">
        <f>BDbDT_calcs!I65</f>
        <v>6711.6256739371311</v>
      </c>
      <c r="J9" s="37">
        <f>BDbDT_calcs!J65</f>
        <v>6778.8435263476122</v>
      </c>
      <c r="K9" s="37">
        <f>BDbDT_calcs!K65</f>
        <v>6845.809387481384</v>
      </c>
      <c r="L9" s="37">
        <f>BDbDT_calcs!L65</f>
        <v>6911.9922688360311</v>
      </c>
      <c r="M9" s="37">
        <f>BDbDT_calcs!M65</f>
        <v>6977.3029304112724</v>
      </c>
      <c r="N9" s="37">
        <f>BDbDT_calcs!N65</f>
        <v>7040.3308853786175</v>
      </c>
      <c r="O9" s="37">
        <f>BDbDT_calcs!O65</f>
        <v>7100.3258499628773</v>
      </c>
      <c r="P9" s="37">
        <f>BDbDT_calcs!P65</f>
        <v>7156.6695639584177</v>
      </c>
      <c r="Q9" s="37">
        <f>BDbDT_calcs!Q65</f>
        <v>7208.1994947318781</v>
      </c>
      <c r="R9" s="37">
        <f>BDbDT_calcs!R65</f>
        <v>7254.2200326784559</v>
      </c>
      <c r="S9" s="37">
        <f>BDbDT_calcs!S65</f>
        <v>7285.7582086455195</v>
      </c>
      <c r="T9" s="37">
        <f>BDbDT_calcs!T65</f>
        <v>7310.6222962314778</v>
      </c>
      <c r="U9" s="37">
        <f>BDbDT_calcs!U65</f>
        <v>7328.7903876738783</v>
      </c>
      <c r="V9" s="37">
        <f>BDbDT_calcs!V65</f>
        <v>7338.5186996670918</v>
      </c>
      <c r="W9" s="37">
        <f>BDbDT_calcs!W65</f>
        <v>7339.4376023736522</v>
      </c>
      <c r="X9" s="37">
        <f>BDbDT_calcs!X65</f>
        <v>7331.4829179422513</v>
      </c>
      <c r="Y9" s="37">
        <f>BDbDT_calcs!Y65</f>
        <v>7318.6304605943515</v>
      </c>
      <c r="Z9" s="37">
        <f>BDbDT_calcs!Z65</f>
        <v>7297.5847562481422</v>
      </c>
      <c r="AA9" s="37">
        <f>BDbDT_calcs!AA65</f>
        <v>7268.2713955291574</v>
      </c>
      <c r="AB9" s="37">
        <f>BDbDT_calcs!AB65</f>
        <v>7231.2336271247405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2026-08-17T20:29:43Z</dcterms:modified>
</cp:coreProperties>
</file>